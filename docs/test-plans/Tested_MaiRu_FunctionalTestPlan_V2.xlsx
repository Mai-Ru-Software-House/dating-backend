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Test Users" sheetId="2" r:id="rId5"/>
    <sheet state="visible" name="Seed Data" sheetId="3" r:id="rId6"/>
    <sheet state="visible" name="1 Create Profile" sheetId="4" r:id="rId7"/>
    <sheet state="visible" name="2 Login Switch User" sheetId="5" r:id="rId8"/>
    <sheet state="visible" name="3 Find Matches" sheetId="6" r:id="rId9"/>
    <sheet state="visible" name="4 Chat List Conversation" sheetId="7" r:id="rId10"/>
    <sheet state="visible" name="5 Send Reply" sheetId="8" r:id="rId11"/>
    <sheet state="visible" name="6 Favorites" sheetId="9" r:id="rId12"/>
    <sheet state="visible" name="7 Notes" sheetId="10" r:id="rId13"/>
    <sheet state="visible" name="8 System" sheetId="11" r:id="rId14"/>
    <sheet state="visible" name="Test Run Summary" sheetId="12" r:id="rId15"/>
  </sheets>
  <definedNames/>
  <calcPr/>
  <extLst>
    <ext uri="GoogleSheetsCustomDataVersion2">
      <go:sheetsCustomData xmlns:go="http://customooxmlschemas.google.com/" r:id="rId16" roundtripDataChecksum="oZ5cyeajbJ6EKPlTiVxhpX8UFHjvEg7DgIFj/X8BU9A="/>
    </ext>
  </extLst>
</workbook>
</file>

<file path=xl/sharedStrings.xml><?xml version="1.0" encoding="utf-8"?>
<sst xmlns="http://schemas.openxmlformats.org/spreadsheetml/2006/main" count="962" uniqueCount="643">
  <si>
    <t>Mai Ru Online Dating System: Functional Test Plan</t>
  </si>
  <si>
    <t>Seed data for messages, favorites and notes</t>
  </si>
  <si>
    <t>1. Create Profile</t>
  </si>
  <si>
    <t>Test users and seed data</t>
  </si>
  <si>
    <t>SEN-201 Fall 2026, Lab: Creating Unit and Functional Tests. Integration and system level test plan, written by the whole team.</t>
  </si>
  <si>
    <t>Times are relative to when the seed script runs. Users are on the Test Users sheet.</t>
  </si>
  <si>
    <t>Load these with the seed script before testing. Ages and distances are formulas, so they stay correct on the day the tests are run.</t>
  </si>
  <si>
    <t>Use case(s)</t>
  </si>
  <si>
    <t>Seeded messages</t>
  </si>
  <si>
    <t>Purpose</t>
  </si>
  <si>
    <t>Msg</t>
  </si>
  <si>
    <t>Test day</t>
  </si>
  <si>
    <t>Create Profile (Must Have), including Upload Profile Photo</t>
  </si>
  <si>
    <t>From</t>
  </si>
  <si>
    <t>Check that the parts of the system (mobile app, REST API, services, PostgreSQL, Match Engine, RustFS photo storage and Nominatim) work together and give the behaviour described in our use case narratives.</t>
  </si>
  <si>
    <t>To</t>
  </si>
  <si>
    <t>Text</t>
  </si>
  <si>
    <t>Sent</t>
  </si>
  <si>
    <t>State</t>
  </si>
  <si>
    <t>M1</t>
  </si>
  <si>
    <t>chai</t>
  </si>
  <si>
    <t>alice</t>
  </si>
  <si>
    <t>Hello Alice, nice to match with you!</t>
  </si>
  <si>
    <t>1 day ago</t>
  </si>
  <si>
    <t>Read</t>
  </si>
  <si>
    <t>Test level</t>
  </si>
  <si>
    <t>Precondition</t>
  </si>
  <si>
    <t>M2</t>
  </si>
  <si>
    <t>App is open on the landing page. No user is logged in. Seed data from the Test Users sheet is loaded.</t>
  </si>
  <si>
    <t>Integration and system testing. Black box: each case is written from the use cases and docs/api-contract.md, not from the code. Unit tests are separate and are done by each developer for their own component.</t>
  </si>
  <si>
    <t>bob</t>
  </si>
  <si>
    <t>Hi Alice</t>
  </si>
  <si>
    <t>60 minutes ago</t>
  </si>
  <si>
    <t>Unread</t>
  </si>
  <si>
    <t>M3</t>
  </si>
  <si>
    <t>Objective</t>
  </si>
  <si>
    <t>In scope</t>
  </si>
  <si>
    <t>Are you free this weekend?</t>
  </si>
  <si>
    <t>50 minutes ago</t>
  </si>
  <si>
    <t>Test Case</t>
  </si>
  <si>
    <t>All Must Have use cases (Create Profile, Login/Switch User, Find Matches, View Chat List, View Conversation, Send Message, Reply to Message) and the Nice to Have use cases (Add Favorite, Record Small Notes, View Notes). Plus system wide checks: sessions, privacy, error format, time stamps and data that survives a restart.</t>
  </si>
  <si>
    <t>Test Data</t>
  </si>
  <si>
    <t>M4</t>
  </si>
  <si>
    <t>Expected Result</t>
  </si>
  <si>
    <t>There is a jazz night at Siam on Saturday.</t>
  </si>
  <si>
    <t>Out of scope</t>
  </si>
  <si>
    <t>Test Result (Pass, Fail, Partial or Not Run)</t>
  </si>
  <si>
    <t>40 minutes ago</t>
  </si>
  <si>
    <t>The maths inside the match score (covered by the Match Engine unit tests), visual design of the app, load testing beyond the simple speed check on the System sheet.</t>
  </si>
  <si>
    <t>Comments (actual result and evidence)</t>
  </si>
  <si>
    <t>M5</t>
  </si>
  <si>
    <t>Test Date (UTC)</t>
  </si>
  <si>
    <t>Environment</t>
  </si>
  <si>
    <t>Hey Chai, see you at football later.</t>
  </si>
  <si>
    <t>2 hours ago</t>
  </si>
  <si>
    <t>O1. A user who fills every section correctly can create a profile and then log in with it.</t>
  </si>
  <si>
    <t>Full stack started from the Infra repo (docker compose): backend (Elysia on Bun), PostgreSQL with the seed data on the Test Users sheet, Match Engine, RustFS, Nominatim. Mobile app on an Android phone or emulator. API checks can also be run with Postman or curl.</t>
  </si>
  <si>
    <t>M6</t>
  </si>
  <si>
    <t>Entry criteria</t>
  </si>
  <si>
    <t>All components build and their unit tests pass. The seed script loads the users, messages, favorites and notes on the Test Users and Seed Data sheets. Assumptions below are confirmed or updated.</t>
  </si>
  <si>
    <t>hana</t>
  </si>
  <si>
    <t>Change to a fixed date if you want the results to stay the same after the test session.</t>
  </si>
  <si>
    <t>Hi Hana</t>
  </si>
  <si>
    <t>3 hours ago</t>
  </si>
  <si>
    <t>CP01: Valid profile, all sections correct</t>
  </si>
  <si>
    <t>Exit criteria</t>
  </si>
  <si>
    <t>DOB that turns 18 today</t>
  </si>
  <si>
    <t>Seeded favorites and notes</t>
  </si>
  <si>
    <t>Every test case gives its expected result. When a case fails, the bug is fixed and the case is run again together with the other cases for the same objective (regression).</t>
  </si>
  <si>
    <t>1) Tap Create Profile
2) Enter the mint_01 data from the Seed Data sheet (Extra data) and square_500.jpg
3) Tap Submit
4) Log in as mint_01 / Mint2026</t>
  </si>
  <si>
    <t>Owner</t>
  </si>
  <si>
    <t>Kind</t>
  </si>
  <si>
    <t>1) Form opens with three sections
2) Each section shows as valid when complete
3) System confirms the profile is created and returns to the main menu
4) Login works and Home page opens. Username, display name, age, gender, place name and photo are correct on the own profile page</t>
  </si>
  <si>
    <t>About</t>
  </si>
  <si>
    <t>Content</t>
  </si>
  <si>
    <t>Favorite</t>
  </si>
  <si>
    <t>How to read</t>
  </si>
  <si>
    <t>Sheets 1 to 8 each cover one use case (sheet 8 covers the whole system). Each objective on the left covers the test cases next to it. Test data names users from the Test Users sheet and messages from the Seed Data sheet. When we execute the plan in a few weeks, we will add Actual Result and Pass/Fail columns next to Expected Result.</t>
  </si>
  <si>
    <t>Note</t>
  </si>
  <si>
    <t>Met at a cafe in Ari last month.</t>
  </si>
  <si>
    <t>Extra data for some cases</t>
  </si>
  <si>
    <t>Partial</t>
  </si>
  <si>
    <t>Item</t>
  </si>
  <si>
    <t>Used in</t>
  </si>
  <si>
    <t>Columns on each use case sheet (lecture 08, slide 11)</t>
  </si>
  <si>
    <t>The aspect of the system being tested. One objective covers one or more test cases.</t>
  </si>
  <si>
    <t>API half passed: mint_01 created, placeName "Bangkok, Bang Rak", photo 200 image/jpeg. Screen half to confirm on the iPhone: the three form sections show as valid and the app returns to the main menu</t>
  </si>
  <si>
    <t>2026-10-27</t>
  </si>
  <si>
    <t>One condition we want to check, with an ID (for example CP04) so we can refer to it.</t>
  </si>
  <si>
    <t>Value</t>
  </si>
  <si>
    <t>CP02: Location gives a place name</t>
  </si>
  <si>
    <t>New user mint</t>
  </si>
  <si>
    <t>Allow location on the phone, or set the emulator to 13.7466, 100.5393 (Siam)</t>
  </si>
  <si>
    <t>CP01, FM08</t>
  </si>
  <si>
    <t>Own profile shows a place name in the format province, district (for example Bangkok, Pathum Wan)</t>
  </si>
  <si>
    <t>The exact input or actions for the case. Users and messages come from the Test Users and Seed Data sheets.</t>
  </si>
  <si>
    <t>mint_01 / Mint2026 / Mint / Female / 15 Sep 1999 / 13.7300, 100.5300 / wants Male 24 to 32 within 30 km</t>
  </si>
  <si>
    <t>API half passed: create 201; lookup "Bangkok, Pathum Wan"; own profile "Bangkok, Pathum Wan". Screen half to confirm on the iPhone: allow location on the iPhone and check that the own profile page shows the same name</t>
  </si>
  <si>
    <t>60 message thread</t>
  </si>
  <si>
    <t>A clear statement of what the correct system does, so anyone can decide pass or fail.</t>
  </si>
  <si>
    <t>CH06</t>
  </si>
  <si>
    <t>CP03: New photo replaces the old one (A5)</t>
  </si>
  <si>
    <t>Log in as mint_01, change the profile photo to another square jpg</t>
  </si>
  <si>
    <t>Yellow cell</t>
  </si>
  <si>
    <t>Seed script option: 60 messages between alice and dan, one minute apart</t>
  </si>
  <si>
    <t>New photo shows. The old photo object is deleted from RustFS</t>
  </si>
  <si>
    <t>A value the team should check or change before running the tests.</t>
  </si>
  <si>
    <t>Photo files</t>
  </si>
  <si>
    <t>Pass</t>
  </si>
  <si>
    <t>CP19, CP20, CP21, CP22, CP03</t>
  </si>
  <si>
    <t>old 01a17cd8-1e07-77f4-8199-42f17a61a3b7 deleted; new 01a17cd8-2447-76d2-a577-eb9ef99017fe loads</t>
  </si>
  <si>
    <t>Who tests what (suggestion, change it if the team agrees on another split)</t>
  </si>
  <si>
    <t>O2. The username must be unique and follow the username rules (A1).</t>
  </si>
  <si>
    <t>square_500.jpg (500x500, 0.3 MB), square_big.jpg (1500x1500, 1.2 MB), wide_800x600.jpg (0.2 MB), anim.gif (0.1 MB)</t>
  </si>
  <si>
    <t>Lecture slide 19 says developers tend to test to prove their code is right. So each sheet is tested by someone who did not build the backend part behind it.</t>
  </si>
  <si>
    <t>CP04: Username already in use</t>
  </si>
  <si>
    <t>Used in CP15 (boundary, must be accepted).</t>
  </si>
  <si>
    <t>Username: alice, all other fields valid</t>
  </si>
  <si>
    <t>Message says the username is taken and asks for another one. Other values stay in the form. API returns 409 USERNAME_TAKEN. No second alice is created</t>
  </si>
  <si>
    <t>API half passed: 409 USERNAME_TAKEN, "That username is taken. Please choose another one."; alice rows 1. Screen half to confirm on the iPhone: the form keeps the other values and asks for another username</t>
  </si>
  <si>
    <t>DOB that turns 18 tomorrow</t>
  </si>
  <si>
    <t>CP05: Username too short (A1)</t>
  </si>
  <si>
    <t>Sheet</t>
  </si>
  <si>
    <t>Username: abc</t>
  </si>
  <si>
    <t>Error message shows the username rules. Nothing saved</t>
  </si>
  <si>
    <t>Backend built by</t>
  </si>
  <si>
    <t>Suggested tester</t>
  </si>
  <si>
    <t>400 field username, "The username must be 4 to 20 characters: letters, digits and underscore."</t>
  </si>
  <si>
    <t>Cases</t>
  </si>
  <si>
    <t>CP06: Username with characters not allowed (A1)</t>
  </si>
  <si>
    <t>1 Create Profile</t>
  </si>
  <si>
    <t>Username: mint#01</t>
  </si>
  <si>
    <t>Chuan (Profile), Tae (Photo), Vic (Location)</t>
  </si>
  <si>
    <t>Tee</t>
  </si>
  <si>
    <t>CP01 to CP27</t>
  </si>
  <si>
    <t>2 Login Switch User</t>
  </si>
  <si>
    <t>Chuan (Auth)</t>
  </si>
  <si>
    <t>Vic</t>
  </si>
  <si>
    <t>CP07: Empty username</t>
  </si>
  <si>
    <t>LG01 to LG11</t>
  </si>
  <si>
    <t>Username: (blank)</t>
  </si>
  <si>
    <t>3 Find Matches</t>
  </si>
  <si>
    <t>Error says the username is required. Submit stays disabled</t>
  </si>
  <si>
    <t>Tae (Match Engine), Vic (Match Service)</t>
  </si>
  <si>
    <t>Used in CP14 (still 17, must be rejected).</t>
  </si>
  <si>
    <t>Chuan</t>
  </si>
  <si>
    <t>API half passed: 400 field username, "A username is required. The username must be 4 to 20 characters: letters, digits and underscore.". Screen half to confirm on the iPhone: the Submit button stays disabled and the app says the username is required</t>
  </si>
  <si>
    <t>FM01 to FM18</t>
  </si>
  <si>
    <t>4 Chat List Conversation</t>
  </si>
  <si>
    <t>CP08: Username at maximum length (A1)</t>
  </si>
  <si>
    <t>Vic (Messaging)</t>
  </si>
  <si>
    <t>Tae</t>
  </si>
  <si>
    <t>Username: abcdefghij0123456789 (20 characters), all other fields valid</t>
  </si>
  <si>
    <t>CH01 to CH09</t>
  </si>
  <si>
    <t>Accepted. Profile is created and the full username is shown, not cut</t>
  </si>
  <si>
    <t>Username</t>
  </si>
  <si>
    <t>5 Send Reply</t>
  </si>
  <si>
    <t>20 character username accepted and returned in full</t>
  </si>
  <si>
    <t>Password</t>
  </si>
  <si>
    <t>MS01 to MS14</t>
  </si>
  <si>
    <t>Display name</t>
  </si>
  <si>
    <t>6 Favorites</t>
  </si>
  <si>
    <t>Gender</t>
  </si>
  <si>
    <t>CP09: Same username at the same time</t>
  </si>
  <si>
    <t>Vic (Favorites and Notes)</t>
  </si>
  <si>
    <t>Two phones submit username race_01 within one second</t>
  </si>
  <si>
    <t>Date of birth</t>
  </si>
  <si>
    <t>One request succeeds (201). The other gets 409 USERNAME_TAKEN. Only one race_01 exists in the database</t>
  </si>
  <si>
    <t>FV01 to FV07</t>
  </si>
  <si>
    <t>Age</t>
  </si>
  <si>
    <t>7 Notes</t>
  </si>
  <si>
    <t>Latitude</t>
  </si>
  <si>
    <t>statuses 201 and 409; rows 1</t>
  </si>
  <si>
    <t>Longitude</t>
  </si>
  <si>
    <t>Area</t>
  </si>
  <si>
    <t>O3. The password must meet the rules, match its confirmation and never be stored as plain text (A2).</t>
  </si>
  <si>
    <t>NT01 to NT08</t>
  </si>
  <si>
    <t>Target gender</t>
  </si>
  <si>
    <t>8 System</t>
  </si>
  <si>
    <t>Whole team</t>
  </si>
  <si>
    <t>Min age</t>
  </si>
  <si>
    <t>CP10: Password too short (A2)</t>
  </si>
  <si>
    <t>Max age</t>
  </si>
  <si>
    <t>SY01 to SY11</t>
  </si>
  <si>
    <t>Password: abc12 (5 characters), confirmation the same</t>
  </si>
  <si>
    <t>Radius km</t>
  </si>
  <si>
    <t>Error says the password is too short and shows the rules</t>
  </si>
  <si>
    <t>Assumptions to confirm before testing</t>
  </si>
  <si>
    <t>Distance from alice (km)</t>
  </si>
  <si>
    <t>400 field password, "The password is too short. Use at least 8 characters, with at least one letter and one digit."</t>
  </si>
  <si>
    <t>In alice's recommendations?</t>
  </si>
  <si>
    <t>These rules are still marked proposed or open in docs/decisions.md. The test data uses the values below. If the owner decides a different value, update this table and the test data that points to it.</t>
  </si>
  <si>
    <t>Why this user exists</t>
  </si>
  <si>
    <t>ID</t>
  </si>
  <si>
    <t>CP11: Password and confirmation do not match</t>
  </si>
  <si>
    <t>Assumption</t>
  </si>
  <si>
    <t>Password: Mint2026, confirmation: Mint2027</t>
  </si>
  <si>
    <t>Error says the two passwords do not match. Nothing saved</t>
  </si>
  <si>
    <t>Status</t>
  </si>
  <si>
    <t>Alice2026</t>
  </si>
  <si>
    <t>A1</t>
  </si>
  <si>
    <t>Not Run</t>
  </si>
  <si>
    <t>Alice</t>
  </si>
  <si>
    <t>Female</t>
  </si>
  <si>
    <t>Username: 4 to 20 characters, only letters, digits and underscore. Cannot change after creation.</t>
  </si>
  <si>
    <t>Open</t>
  </si>
  <si>
    <t>Screen only: the API has no password confirmation field (docs/api-contract.md, POST /users: 'the app checks the confirmation'). To test on the iPhone: password Mint2026, confirmation Mint2027, expect the 'passwords do not match' error and nothing saved.</t>
  </si>
  <si>
    <t>A2</t>
  </si>
  <si>
    <t>Password: at least 8 characters with at least one letter and one digit. Stored as an Argon2id hash.</t>
  </si>
  <si>
    <t>CP12: Password is stored as a hash (A2)</t>
  </si>
  <si>
    <t>After CP01, open the users table in PostgreSQL and look at mint_01</t>
  </si>
  <si>
    <t>A3</t>
  </si>
  <si>
    <t>Password column holds an Argon2id hash (starts with $argon2id$), never Mint2026</t>
  </si>
  <si>
    <t>Minimum permitted age is 18 (profile age and preference age).</t>
  </si>
  <si>
    <t>Team</t>
  </si>
  <si>
    <t>stored value starts with $argon2id$v=19$m=65536,t=3,p=1...</t>
  </si>
  <si>
    <t>A4</t>
  </si>
  <si>
    <t>Gender list: Male, Female (plus any others the team adds). Target gender is one value in this data.</t>
  </si>
  <si>
    <t>O4. Personal details are checked, including the minimum age (A3), and odd input is saved safely.</t>
  </si>
  <si>
    <t>A5</t>
  </si>
  <si>
    <t>Profile photo: png, jpg, jpeg or webp, at most 1 MB, must be square (1:1). New photo replaces the old one.</t>
  </si>
  <si>
    <t>CP13: Date of birth in the future</t>
  </si>
  <si>
    <t>DOB: 1 Jan 2030</t>
  </si>
  <si>
    <t>Decided (Tae, 4 Oct)</t>
  </si>
  <si>
    <t>Error names the date of birth field. Other sections are not affected</t>
  </si>
  <si>
    <t>API half passed: 400 field dateOfBirth, "The date of birth cannot be in the future.". Screen half to confirm on the iPhone: the other form sections must keep their values</t>
  </si>
  <si>
    <t>A6</t>
  </si>
  <si>
    <t>Siam, Bangkok</t>
  </si>
  <si>
    <t>CP14: One day under the minimum age (A3)</t>
  </si>
  <si>
    <t>Male</t>
  </si>
  <si>
    <t>Text message: 1 to 1000 characters after trimming spaces.</t>
  </si>
  <si>
    <t>DOB: value in Test Users!B6 (turns 18 tomorrow)</t>
  </si>
  <si>
    <t>Rejected. Error says the user must be at least 18</t>
  </si>
  <si>
    <t>today is 2026-10-27; DOB 2008-10-28 rejected: "You must be at least 18 years old."</t>
  </si>
  <si>
    <t>A7</t>
  </si>
  <si>
    <t>Note: 1 to 500 characters after trimming spaces.</t>
  </si>
  <si>
    <t>CP15: Exactly the minimum age today (A3)</t>
  </si>
  <si>
    <t>DOB: value in Test Users!B5 (turns 18 today), new username teen_ok</t>
  </si>
  <si>
    <t>Accepted. Profile is created and age shows 18</t>
  </si>
  <si>
    <t>A8</t>
  </si>
  <si>
    <t>If the place name lookup fails or the point has no name, the profile is still saved with no place name.</t>
  </si>
  <si>
    <t>DOB 2008-10-27 accepted; another user sees age 18 (own list 200)</t>
  </si>
  <si>
    <t>Proposed</t>
  </si>
  <si>
    <t>CP16: Empty display name</t>
  </si>
  <si>
    <t>A9</t>
  </si>
  <si>
    <t>Display name: (blank)</t>
  </si>
  <si>
    <t>Sessions: short JWT access token plus long refresh token. Set the access token to 1 minute in the test environment for LG09.</t>
  </si>
  <si>
    <t>Error names the display name field. Values in the other sections are kept</t>
  </si>
  <si>
    <t>Decided (Tae)</t>
  </si>
  <si>
    <t>A10</t>
  </si>
  <si>
    <t>API half passed: 400 field displayName, "A display name is required.". Screen half to confirm on the iPhone: values in the other sections must stay in the form</t>
  </si>
  <si>
    <t>Matches are mutual: each user must fit the other user's gender, age range and radius.</t>
  </si>
  <si>
    <t>Decided</t>
  </si>
  <si>
    <t>CP17: Location with no place name (A9, proposed)</t>
  </si>
  <si>
    <t>Set the emulator location to 12.5000, 100.9000 (Gulf of Thailand)</t>
  </si>
  <si>
    <t>Profile is still saved. Place name is empty, the app does not crash</t>
  </si>
  <si>
    <t>Removed</t>
  </si>
  <si>
    <t>The test coordinates (12.5, 100.9) actually resolve to "Chon Buri, Sattahip", so they are not suitable for testing a location without a place name. Evidence: API returned 201 with placeName "Chon Buri, Sattahip". Extra check with point 0, 0 (open sea): 201, placeName null, so the 'save without a name' rule works. The plan test data should use 0, 0</t>
  </si>
  <si>
    <t>CP18: Injection text in display name</t>
  </si>
  <si>
    <t>Display name: ' OR '1'='1</t>
  </si>
  <si>
    <t>Saved and shown exactly as typed. No server error. The users table is not changed in any other way</t>
  </si>
  <si>
    <t>display name stored as typed; users 15 to 16</t>
  </si>
  <si>
    <t>O5. The profile photo must be a supported, square image of at most 1 MB (A5).</t>
  </si>
  <si>
    <t>CP19: Photo in an unsupported format (A5)</t>
  </si>
  <si>
    <t>Photo: anim.gif</t>
  </si>
  <si>
    <t>Error lists the supported formats (png, jpg, jpeg, webp). Nothing is stored in RustFS</t>
  </si>
  <si>
    <t>400 field photo, "The photo must be an image in PNG, JPG or WebP format."</t>
  </si>
  <si>
    <t>CP20: Photo larger than 1 MB (A5)</t>
  </si>
  <si>
    <t>Photo: square_big.jpg (1.2 MB)</t>
  </si>
  <si>
    <t>Rejected with a message about the size limit. Nothing stored</t>
  </si>
  <si>
    <t xml:space="preserve">The maximum photo size has been updated from 1 MB to 5 MB, so accepting a 1.2 MB photo is expected behavior. Evidence: a 1.15 MB photo returned 201 and was successfully uploaded, while a 5.67 MB photo returned 400 INVALID_INPUT with the message "The photo is too large. A photo can be at most 5 MB." The test plan should be updated to reflect the new 5 MB limit.
</t>
  </si>
  <si>
    <t>CP21: Photo that is not square (A5)</t>
  </si>
  <si>
    <t>Photo: wide_800x600.jpg</t>
  </si>
  <si>
    <t>Rejected with a message that the photo must be square</t>
  </si>
  <si>
    <t>Non-square photos are no longer restricted, as the application automatically crops uploaded images into a square format. Evidence: uploading an 800×600 photo returned 201, and the stored image was automatically cropped to 600×600. The photo was successfully retrieved with status 200. This is expected behavior, so the test plan should be updated to reflect automatic cropping instead of rejection.</t>
  </si>
  <si>
    <t>CP22: Submit without a photo</t>
  </si>
  <si>
    <t>Fill all fields except the photo</t>
  </si>
  <si>
    <t>Submit is not possible. App says a profile photo is required</t>
  </si>
  <si>
    <t>API half passed: 400 field photoUploadId, "The request has invalid or missing data.". Screen half to confirm on the iPhone: the Submit button is disabled and the app says a profile photo is required</t>
  </si>
  <si>
    <t>O6. Cancel throws the form away only when the user confirms.</t>
  </si>
  <si>
    <t>CP26: Cancel and confirm</t>
  </si>
  <si>
    <t>Fill the whole form with username cancel_me, tap Cancel, then confirm</t>
  </si>
  <si>
    <t>System discards everything and returns to the main menu. Login as cancel_me fails. No photo is left in any part of the system</t>
  </si>
  <si>
    <t>API half passed: temporary upload deleted with its token, no user, login 401. Screen half to confirm on the iPhone: the Cancel and confirm dialog returns to the main menu and calls the delete</t>
  </si>
  <si>
    <t>CP27: Cancel but do not confirm</t>
  </si>
  <si>
    <t>Fill the form, tap Cancel, then choose not to discard</t>
  </si>
  <si>
    <t>Form comes back with every value kept</t>
  </si>
  <si>
    <t>Screen only: Cancel, then 'do not discard' is handled in the app and has no API call. To test on the iPhone: fill the form, tap Cancel, choose not to discard, expect every value kept.</t>
  </si>
  <si>
    <t>Main test user. Most cases log in as alice.</t>
  </si>
  <si>
    <t>Bob2026x</t>
  </si>
  <si>
    <t>Bob</t>
  </si>
  <si>
    <t>Silom, Bangkok</t>
  </si>
  <si>
    <t>Fits alice both ways. Expected match.</t>
  </si>
  <si>
    <t>Chai2026</t>
  </si>
  <si>
    <t>Chai</t>
  </si>
  <si>
    <t>Nonthaburi</t>
  </si>
  <si>
    <t>Fits alice both ways. Expected match, further away than bob. Alice's favorite.</t>
  </si>
  <si>
    <t>dan</t>
  </si>
  <si>
    <t>Dan2026x</t>
  </si>
  <si>
    <t>Dan</t>
  </si>
  <si>
    <t>Bangkok</t>
  </si>
  <si>
    <t>Too old for alice's age range.</t>
  </si>
  <si>
    <t>ekk</t>
  </si>
  <si>
    <t>Ekk2026x</t>
  </si>
  <si>
    <t>Ekk</t>
  </si>
  <si>
    <t>Chiang Mai</t>
  </si>
  <si>
    <t>Outside alice's 50 km radius.</t>
  </si>
  <si>
    <t>fah</t>
  </si>
  <si>
    <t>Fah2026x</t>
  </si>
  <si>
    <t>Fah</t>
  </si>
  <si>
    <t>Wrong gender for alice. Has no messages (empty home page).</t>
  </si>
  <si>
    <t>gun</t>
  </si>
  <si>
    <t>Gun2026x</t>
  </si>
  <si>
    <t>Gun</t>
  </si>
  <si>
    <t>Samut Prakan</t>
  </si>
  <si>
    <t>Alice likes gun, but alice is too old for gun. Tests the mutual rule.</t>
  </si>
  <si>
    <t>Hana2026</t>
  </si>
  <si>
    <t>Hana</t>
  </si>
  <si>
    <t>Outsider for privacy checks.</t>
  </si>
  <si>
    <t>joe</t>
  </si>
  <si>
    <t>Joe2026x</t>
  </si>
  <si>
    <t>Joe</t>
  </si>
  <si>
    <t>Ayutthaya</t>
  </si>
  <si>
    <t>Nobody fits joe. Tests the No matches message.</t>
  </si>
  <si>
    <t>Distance uses the haversine formula on a sphere of radius 6371 km, the same as the Location Service. The app shows it rounded to a whole km. Column O applies the mutual rule (A11).</t>
  </si>
  <si>
    <t>2. Login / Switch User</t>
  </si>
  <si>
    <t>Login/Switch User (Must Have)</t>
  </si>
  <si>
    <t>Seed data loaded. App is on the landing page with no user logged in.</t>
  </si>
  <si>
    <t>O1. A registered user can log in and sees unread messages with the sender and the time sent.</t>
  </si>
  <si>
    <t>LG01: Valid login with unread messages</t>
  </si>
  <si>
    <t>Username alice, password Alice2026</t>
  </si>
  <si>
    <t>Home page opens. Unread list shows M2, M3 and M4 from Bob with the time each was sent. M1 (already read) is not in the list</t>
  </si>
  <si>
    <t>3. Find Matches</t>
  </si>
  <si>
    <t>API half passed: login 201, unread list has 3 messages from Bob, M1 absent, sentAt like 2026-10-27T09:29:54.180Z. Screen half to confirm on the iPhone: the Home page opens and shows the unread list with sender and time</t>
  </si>
  <si>
    <t>LG02: Login with no unread messages</t>
  </si>
  <si>
    <t>fah / Fah2026x</t>
  </si>
  <si>
    <t>Home page shows a friendly message that there are no new messages</t>
  </si>
  <si>
    <t>Find Matches (Must Have): view recommended matches and search by specification</t>
  </si>
  <si>
    <t>API half passed: fah logs in, unread list is empty. Screen half to confirm on the iPhone: the friendly 'no new messages' text on the Home page</t>
  </si>
  <si>
    <t>Seed data loaded. Logged in as alice unless the case says otherwise. Match Engine is running.</t>
  </si>
  <si>
    <t>LG03: Unread list updates after reading</t>
  </si>
  <si>
    <t>1) Log in as alice
2) Open the conversation with Bob
3) Log out and log in again as alice</t>
  </si>
  <si>
    <t>After step 3 the unread list is empty. M2 to M4 now show as read</t>
  </si>
  <si>
    <t>unread 3 before, 0 after reopening; 3 messages all isRead=true</t>
  </si>
  <si>
    <t>LG04: Time sent is shown in local time</t>
  </si>
  <si>
    <t>As bob, send a message to alice at a known time, for example 14:05 Bangkok time. Log in as alice</t>
  </si>
  <si>
    <t>Unread list shows 14:05. API field is UTC ISO 8601, for example 2026-10-20T07:05:00Z</t>
  </si>
  <si>
    <t>API half passed: API sentAt 2026-10-27T10:09:59.962Z; Bangkok time would be 17:09. Screen half to confirm on the iPhone: the app must show 17:09 (UTC+7) for this message</t>
  </si>
  <si>
    <t>O2. Wrong or missing login details are rejected without saying which part is wrong.</t>
  </si>
  <si>
    <t>O1. Recommended matches include only candidates who fit both ways, ranked by match score (A11).</t>
  </si>
  <si>
    <t>LG05: Wrong password</t>
  </si>
  <si>
    <t>alice / wrongpass1</t>
  </si>
  <si>
    <t>Message says the username or password is wrong. API returns 401 INVALID_CREDENTIALS. No token is given</t>
  </si>
  <si>
    <t>401 INVALID_CREDENTIALS, message "The username or password is not correct.", 118 ms</t>
  </si>
  <si>
    <t>FM01: Recommended matches for alice</t>
  </si>
  <si>
    <t>Tap Find Matches, then View recommended matches</t>
  </si>
  <si>
    <t>LG06: Unknown username</t>
  </si>
  <si>
    <t>List shows exactly bob and chai (Test Users sheet, column O = Yes). Each row shows photo, display name, username, age, gender, distance in whole km (bob about 3 km, chai about 13 km) and a match score from 0 to 100</t>
  </si>
  <si>
    <t>nobody_here / Alice2026</t>
  </si>
  <si>
    <t>Exactly the same message and status as LG05, so the app does not show whether the username exists</t>
  </si>
  <si>
    <t>both 401 with the same body. Observation (not a failure of this case): 8 tries each, an unknown username answers in about 164 ms (median) but a wrong password in about 114 ms, so the response time can tell whether a username exists. docs/api-contract.md says an unknown username takes as long as a wrong password. Owner: Chuan (Auth).</t>
  </si>
  <si>
    <t>LG07: Empty fields</t>
  </si>
  <si>
    <t>list: bob 3 km score 99, chai 13 km score 84</t>
  </si>
  <si>
    <t>Username and password left blank, tap Login</t>
  </si>
  <si>
    <t>App asks for both fields and sends no request</t>
  </si>
  <si>
    <t>FM02: Candidate outside the age range is hidden</t>
  </si>
  <si>
    <t>API half passed: API answers 400 INVALID_INPUT field username. Screen half to confirm on the iPhone: the app asks for both fields and sends no request at all</t>
  </si>
  <si>
    <t>Same list as FM01</t>
  </si>
  <si>
    <t>dan (age over 32) is not in the list</t>
  </si>
  <si>
    <t>O3. Sessions keep the user logged in safely, and switching user shows only the new user's data (A10).</t>
  </si>
  <si>
    <t>list: bob, chai</t>
  </si>
  <si>
    <t>LG08: Switch user</t>
  </si>
  <si>
    <t>1) Log in as alice
2) Log out
3) Log in as bob
4) Press the phone back button</t>
  </si>
  <si>
    <t>FM03: Candidate outside the radius is hidden</t>
  </si>
  <si>
    <t>Bob sees only his own chats and notes. Back button does not show any of alice's screens</t>
  </si>
  <si>
    <t>ekk (Chiang Mai, about 585 km) is not in the list</t>
  </si>
  <si>
    <t>API half passed: bob chats: Alice, Chai; notes about alice: 0. Screen half to confirm on the iPhone: the phone back button must not show any of alice's screens</t>
  </si>
  <si>
    <t>FM04: Candidate of the wrong gender is hidden</t>
  </si>
  <si>
    <t>fah and hana are not in the list</t>
  </si>
  <si>
    <t>FM05: Mutual rule (A11)</t>
  </si>
  <si>
    <t>gun is not in the list, because alice is older than gun's maximum age (26), even though gun fits alice</t>
  </si>
  <si>
    <t>LG09: Access token expires (A10)</t>
  </si>
  <si>
    <t>Access token lifetime set to 1 minute. Log in as alice, wait 2 minutes, open the chat list</t>
  </si>
  <si>
    <t>App gets a new access token with the refresh token and the chat list loads. User is not sent back to login</t>
  </si>
  <si>
    <t>FM06: User never sees themself</t>
  </si>
  <si>
    <t>alice does not appear in her own results</t>
  </si>
  <si>
    <t>API half passed: token life 60 s; after 65 s: 401 UNAUTHENTICATED; refresh 200; chat list 200 again. Screen half to confirm on the iPhone: the app must call refresh by itself and not send the user back to the login screen</t>
  </si>
  <si>
    <t>LG10: Logout ends the session</t>
  </si>
  <si>
    <t>Log in as alice, copy the refresh token from the app logs or Postman, log out, then call the refresh endpoint with the old token</t>
  </si>
  <si>
    <t>FM07: Ranking order</t>
  </si>
  <si>
    <t>API returns 401. The old refresh token cannot be used again</t>
  </si>
  <si>
    <t>Scores go from highest to lowest. No user appears twice</t>
  </si>
  <si>
    <t>scores 99 &gt; 84</t>
  </si>
  <si>
    <t>after logout the old refresh token gives 401 UNAUTHENTICATED</t>
  </si>
  <si>
    <t>FM08: A new profile becomes a candidate</t>
  </si>
  <si>
    <t>After CP01 (mint_01 created), log in as bob and view recommended matches</t>
  </si>
  <si>
    <t>mint_01 appears in bob's list with distance about 0 km (shown as 0 or 1)</t>
  </si>
  <si>
    <t>LG11: Call a protected endpoint without a token</t>
  </si>
  <si>
    <t>GET /api/v1/conversations with no Authorization header, then with a made up token</t>
  </si>
  <si>
    <t>bob's list: mint_01, abcdefghij0123456789, race_01, inject_01, wide_01, alice, place_01, fah; mint_01 1 km</t>
  </si>
  <si>
    <t>Both return 401 UNAUTHENTICATED in the standard error shape</t>
  </si>
  <si>
    <t>O2. A candidate's profile shows the right details, hides private data and leads to Send Message.</t>
  </si>
  <si>
    <t>401 UNAUTHENTICATED in the standard error shape, with no header and with a fake token</t>
  </si>
  <si>
    <t>FM09: View a candidate's profile</t>
  </si>
  <si>
    <t>Tap bob in the list</t>
  </si>
  <si>
    <t>Shows photo, display name, age, gender, place name and match score. Date of birth and exact latitude and longitude are not shown in the app or in the API response</t>
  </si>
  <si>
    <t>profile of bob: age 28, Bangkok, Bang Rak, score 99; no private keys</t>
  </si>
  <si>
    <t>FM10: Send a message from a candidate profile</t>
  </si>
  <si>
    <t>On bob's profile tap Send Message</t>
  </si>
  <si>
    <t>Conversation with bob opens. Alice does not need to type bob's username</t>
  </si>
  <si>
    <t>API half passed: message sent with only bob's userId, no username typed. Screen half to confirm on the iPhone: the Send Message button opens the conversation with bob</t>
  </si>
  <si>
    <t>O3. Search by specification returns only members who meet the entered values.</t>
  </si>
  <si>
    <t>FM11: Search by specification</t>
  </si>
  <si>
    <t>Search: age 25 to 26, gender Male, max distance 20 km</t>
  </si>
  <si>
    <t>Only chai is returned</t>
  </si>
  <si>
    <t>candidates: chai</t>
  </si>
  <si>
    <t>FM12: Search with empty fields uses own preferences</t>
  </si>
  <si>
    <t>Open search and submit without changing anything</t>
  </si>
  <si>
    <t>Fields default to alice's preferences (Male, 24 to 32, 50 km). Result is bob and chai</t>
  </si>
  <si>
    <t>API half passed: candidates bob, chai; alice prefers male, 24 to 32, 50 km. Screen half to confirm on the iPhone: the search form must start with alice's preferences filled in</t>
  </si>
  <si>
    <t>O4. Invalid search values are rejected with a clear message.</t>
  </si>
  <si>
    <t>FM13: Search with min age greater than max age</t>
  </si>
  <si>
    <t>Search: age 30 to 25</t>
  </si>
  <si>
    <t>Error names the age range. Values stay in the form. API returns 400</t>
  </si>
  <si>
    <t>API half passed: 400 INVALID_INPUT, field minAge, "The age range is not valid: the minimum age cannot be above the maximum age.". Screen half to confirm on the iPhone: the values stay in the form</t>
  </si>
  <si>
    <t>FM14: Search with radius that is not a number</t>
  </si>
  <si>
    <t>Search: max distance ten</t>
  </si>
  <si>
    <t>Error names the distance field</t>
  </si>
  <si>
    <t>400 field maxDistanceKm, "The request has invalid or missing data."</t>
  </si>
  <si>
    <t>FM15: Search with age below 18 (A3)</t>
  </si>
  <si>
    <t>Search: age 15 to 30</t>
  </si>
  <si>
    <t>Error says the minimum age is 18</t>
  </si>
  <si>
    <t>400 field minAge, "The minimum age is 18."</t>
  </si>
  <si>
    <t>O5. The user gets a clear message when there are no matches or the Match Engine is down.</t>
  </si>
  <si>
    <t>FM16: No matches found</t>
  </si>
  <si>
    <t>Log in as joe, view recommended matches</t>
  </si>
  <si>
    <t>Message suggests widening the age range or radius, and the user goes back to the Find Matches menu</t>
  </si>
  <si>
    <t>API half passed: joe gets 200 with an empty list and hasMore=false. Screen half to confirm on the iPhone: the app shows the 'widen the age range or radius' message and goes back to the Find Matches menu</t>
  </si>
  <si>
    <t>FM17: Match Engine is down</t>
  </si>
  <si>
    <t>Stop the Match Engine container, then view recommended matches</t>
  </si>
  <si>
    <t>App shows a friendly error and does not crash.</t>
  </si>
  <si>
    <t>API half passed: engine unreachable: 500 MATCH_ENGINE_UNAVAILABLE after 21 ms, backend health 200. Screen half to confirm on the iPhone: the app shows a friendly error and does not crash</t>
  </si>
  <si>
    <t>4. View Chat List and View Conversation</t>
  </si>
  <si>
    <t>View Chat List (Must Have), View Conversation (Must Have)</t>
  </si>
  <si>
    <t>Seed data loaded (Seed Data sheet: messages M1 to M6, alice's favorite chai). Logged in as alice.</t>
  </si>
  <si>
    <t>O1. The chat list shows one row per person with the last message, its time and the unread count, with favorites on top.</t>
  </si>
  <si>
    <t>CH01: Chat list content</t>
  </si>
  <si>
    <t>Open the chat list</t>
  </si>
  <si>
    <t>One row each for chai, bob and hana. Each row shows photo, display name, last message text, its time and the unread count (bob 3, chai 0, hana 0)</t>
  </si>
  <si>
    <t>rows: Chai, Bob, Hana; unread bob 3</t>
  </si>
  <si>
    <t>CH02: Favorites are on top</t>
  </si>
  <si>
    <t>Same list as CH01</t>
  </si>
  <si>
    <t>chai is first because she is a favorite, even though bob's last message is newer</t>
  </si>
  <si>
    <t>order: Chai &gt; Bob &gt; Hana</t>
  </si>
  <si>
    <t>CH03: Other chats sorted by newest message</t>
  </si>
  <si>
    <t>bob (40 minutes ago) comes before hana (3 hours ago)</t>
  </si>
  <si>
    <t>CH04: Empty chat list</t>
  </si>
  <si>
    <t>Log in as fah, open the chat list</t>
  </si>
  <si>
    <t>Friendly message that there are no chats yet, no error</t>
  </si>
  <si>
    <t>API half passed: fah gets 200 with an empty list. Screen half to confirm on the iPhone: the app shows a friendly 'no chats yet' message</t>
  </si>
  <si>
    <t>O2. A conversation shows every message in order and marks the messages as read.</t>
  </si>
  <si>
    <t>CH05: Open a conversation</t>
  </si>
  <si>
    <t>Tap bob</t>
  </si>
  <si>
    <t>Messages M2, M3, M4 shown in time order with the sender and time of each. Bob's unread count becomes 0 in the chat list and on the home page</t>
  </si>
  <si>
    <t>API returns newest first, so the app must reverse it; unread 3 became 0</t>
  </si>
  <si>
    <t>CH06: Load older messages</t>
  </si>
  <si>
    <t>Seed the 60 message thread with dan. Open it and scroll up until all are loaded</t>
  </si>
  <si>
    <t>Older messages load page by page. All 60 messages appear once, none missing and none repeated</t>
  </si>
  <si>
    <t>3 pages of 20, 60 messages, 60 unique</t>
  </si>
  <si>
    <t>CH07: Mark as read without opening</t>
  </si>
  <si>
    <t>PATCH /api/v1/conversations/{bob's id} with {"isRead": true}</t>
  </si>
  <si>
    <t>Unread count for bob is 0 in the chat list and the home page</t>
  </si>
  <si>
    <t>PATCH isRead true: 200 unreadCount 0, list and home page updated</t>
  </si>
  <si>
    <t>O3. A user can only open their own conversations.</t>
  </si>
  <si>
    <t>CH08: Conversation with a user who does not exist</t>
  </si>
  <si>
    <t>GET /api/v1/conversations/99999/messages</t>
  </si>
  <si>
    <t>API returns 404 in the standard error shape</t>
  </si>
  <si>
    <t>404 USER_NOT_FOUND for 99999 and 404 for an unknown UUID</t>
  </si>
  <si>
    <t>CH09: Cannot read other people's chats</t>
  </si>
  <si>
    <t>Log in as hana. GET /api/v1/conversations/{bob's id}/messages</t>
  </si>
  <si>
    <t>Returns only messages between hana and bob (none). M2 to M5 never appear</t>
  </si>
  <si>
    <t>hana asks for bob's conversation: 200 with an empty list</t>
  </si>
  <si>
    <t>5. Send Message and Reply to Message</t>
  </si>
  <si>
    <t>Send Message (Must Have), Reply to Message (Must Have)</t>
  </si>
  <si>
    <t>Seed data loaded. Logged in as alice.</t>
  </si>
  <si>
    <t>O1. A user can send a valid text message, and the receiver sees it with a server time stamp.</t>
  </si>
  <si>
    <t>MS01: Send a text message</t>
  </si>
  <si>
    <t>1) Open the conversation with bob, send: Hi Bob, coffee this weekend?
2) Log out, log in as bob</t>
  </si>
  <si>
    <t>1) Message appears at the bottom with a time stamp
2) Bob's unread list shows the message from Alice with the time sent</t>
  </si>
  <si>
    <t>sent at 2026-10-27T10:11:24.239Z; shown to bob from Alice</t>
  </si>
  <si>
    <t>MS02: Thai text and emoji</t>
  </si>
  <si>
    <t>Send: สวัสดีค่ะ 😊</t>
  </si>
  <si>
    <t>Message is saved and shown exactly as typed, for alice and for bob</t>
  </si>
  <si>
    <t>stored and returned exactly: สวัสดีค่ะ 😊</t>
  </si>
  <si>
    <t>MS04: Two users send at the same time</t>
  </si>
  <si>
    <t>Alice and bob each send a message to the other within the same second</t>
  </si>
  <si>
    <t>Both messages are saved and shown in the same order on both phones. No message is lost</t>
  </si>
  <si>
    <t>sent 2026-10-27T10:11:24.411Z and 2026-10-27T10:11:24.421Z; same order for both users</t>
  </si>
  <si>
    <t>O2. Invalid messages are rejected and nothing is saved (A7).</t>
  </si>
  <si>
    <t>MS05: Empty message</t>
  </si>
  <si>
    <t>Send an empty message, then one with only spaces</t>
  </si>
  <si>
    <t>Both are rejected (400). Nothing is saved or shown</t>
  </si>
  <si>
    <t>400 for empty and spaces, message count stays 7</t>
  </si>
  <si>
    <t>MS06: Message length limit (A7)</t>
  </si>
  <si>
    <t>Send a message of exactly 1000 characters, then one of 1001 characters</t>
  </si>
  <si>
    <t>1000 characters is sent in full. 1001 characters is rejected with a message about the limit</t>
  </si>
  <si>
    <t>6. Add Favorite</t>
  </si>
  <si>
    <t>1000 accepted, 1001 rejected: "The message text can have at most 1000 characters."</t>
  </si>
  <si>
    <t>O3. A user can reply to a specific message without typing the receiver, but only in their own conversations.</t>
  </si>
  <si>
    <t>Add Favorite (Nice to Have)</t>
  </si>
  <si>
    <t>MS09: Reply to a message</t>
  </si>
  <si>
    <t>In the conversation with bob, select M3 and reply: Yes, Saturday works</t>
  </si>
  <si>
    <t>Reply goes to bob without typing his username. It shows which message it answers (M3). Bob sees it as unread</t>
  </si>
  <si>
    <t>reply to M3 01a17cd7-e74d-7d66-9342-fc7521c0f9d5; bob's unread list has it</t>
  </si>
  <si>
    <t>Seed data loaded. Logged in as alice (chai is already a favorite).</t>
  </si>
  <si>
    <t>O1. A user can add and remove favorites, and favorites are pinned at the top of the chat list.</t>
  </si>
  <si>
    <t>FV01: Add a favorite</t>
  </si>
  <si>
    <t>Open bob's profile, tap Add Favorite</t>
  </si>
  <si>
    <t>Confirmation shown. bob joins chai at the top of the chat list</t>
  </si>
  <si>
    <t>API half passed: chat order: Bob &gt; Chai &gt; Hana. Screen half to confirm on the iPhone: the app shows a confirmation after Add Favorite</t>
  </si>
  <si>
    <t>FV02: Add the same favorite twice</t>
  </si>
  <si>
    <t>Tap Add Favorite on bob again</t>
  </si>
  <si>
    <t>No error and no duplicate.</t>
  </si>
  <si>
    <t>favorites after two adds: 2, bob once</t>
  </si>
  <si>
    <t>FV03: Remove a favorite</t>
  </si>
  <si>
    <t>Remove chai from favorites</t>
  </si>
  <si>
    <t>chai moves down to her normal place by message time</t>
  </si>
  <si>
    <t>chat order: Bob &gt; Hana &gt; Chai</t>
  </si>
  <si>
    <t>FV04: View favorites list</t>
  </si>
  <si>
    <t>Open the favorites list after FV01</t>
  </si>
  <si>
    <t>Shows bob and chai with photo and display name</t>
  </si>
  <si>
    <t>7. Record Small Notes and View Notes</t>
  </si>
  <si>
    <t>favorites list: Bob and Chai with photo and display name</t>
  </si>
  <si>
    <t>Record Small Notes (Nice to Have), View Notes (Nice to Have)</t>
  </si>
  <si>
    <t>O1. A user can record time stamped notes about another user and read them later.</t>
  </si>
  <si>
    <t>NT01: Record a note</t>
  </si>
  <si>
    <t>On bob's profile or chat, add note: Met at Siam Paragon, likes jazz</t>
  </si>
  <si>
    <t>Note is saved with a server time stamp and shown in bob's notes</t>
  </si>
  <si>
    <t>note saved at 2026-10-27T10:11:34.868Z</t>
  </si>
  <si>
    <t>NT02: Several notes are listed in order</t>
  </si>
  <si>
    <t>Add two more notes about bob, then open View Notes for bob</t>
  </si>
  <si>
    <t>All three notes show with their own time stamps, newest first</t>
  </si>
  <si>
    <t>times: 2026-10-27T10:11:37.090Z, 2026-10-27T10:11:35.982Z, 2026-10-27T10:11:34.868Z</t>
  </si>
  <si>
    <t>NT03: View notes when there are none</t>
  </si>
  <si>
    <t>Open View Notes for dan</t>
  </si>
  <si>
    <t>Friendly message that there are no notes yet</t>
  </si>
  <si>
    <t>API half passed: no notes about dan: 200 with an empty list. Screen half to confirm on the iPhone: the app shows a friendly 'no notes yet' message</t>
  </si>
  <si>
    <t>NT04: Seeded note shows correctly</t>
  </si>
  <si>
    <t>Open View Notes for chai</t>
  </si>
  <si>
    <t>Shows the seeded note about the cafe in Ari with its time stamp</t>
  </si>
  <si>
    <t>seeded note, created 2026-10-27T10:11:39.639Z</t>
  </si>
  <si>
    <t>O2. Invalid notes are rejected (A8).</t>
  </si>
  <si>
    <t>NT05: Empty note</t>
  </si>
  <si>
    <t>Save an empty note, then one with only spaces</t>
  </si>
  <si>
    <t>Both rejected. Nothing saved</t>
  </si>
  <si>
    <t>400 for empty and spaces; note count stays 0</t>
  </si>
  <si>
    <t>NT06: Note length limit (A8)</t>
  </si>
  <si>
    <t>Save a note of exactly 500 characters, then one of 501</t>
  </si>
  <si>
    <t>500 characters saved in full. 501 rejected with a message about the limit</t>
  </si>
  <si>
    <t>500 accepted, 501 rejected: "The note can have at most 500 characters."</t>
  </si>
  <si>
    <t>NT07: Note about a user who does not exist</t>
  </si>
  <si>
    <t>POST /api/v1/users/99999/notes</t>
  </si>
  <si>
    <t>API returns 404</t>
  </si>
  <si>
    <t>404 USER_NOT_FOUND (99999) and 404 (unknown UUID)</t>
  </si>
  <si>
    <t>O3. Notes are private to the person who wrote them.</t>
  </si>
  <si>
    <t>NT08: Notes are private</t>
  </si>
  <si>
    <t>Log in as bob. Open alice's profile and call GET /api/v1/users/{alice's id}/notes</t>
  </si>
  <si>
    <t>Bob sees only his own notes about alice (none). Alice's notes about bob never appear</t>
  </si>
  <si>
    <t>bob gets empty lists for alice and for chai; alice's notes never appear</t>
  </si>
  <si>
    <t>8. System Wide Checks</t>
  </si>
  <si>
    <t>All use cases</t>
  </si>
  <si>
    <t>Full stack running from docker compose. Seed data loaded.</t>
  </si>
  <si>
    <t>O1. All parts work together for a full user journey, and data stays after a restart.</t>
  </si>
  <si>
    <t>SY01: Full journey with two new users</t>
  </si>
  <si>
    <t>1) Create two new profiles that fit each other
2) User 1 finds user 2 in recommended matches and sends a message
3) User 2 logs in, sees it as unread and replies
4) User 1 adds user 2 as a favorite and writes a note
5) Log out and log in again as each user</t>
  </si>
  <si>
    <t>Every step works with no error. After step 5 all messages, the favorite and the note are still there and correct</t>
  </si>
  <si>
    <t>API half passed: create 2 users, match, message, reply, favorite, note, log in again: all present. Screen half to confirm on the iPhone: the same journey in Expo Go on the iPhone</t>
  </si>
  <si>
    <t>SY02: Data survives a restart</t>
  </si>
  <si>
    <t>After SY01, run docker compose restart for the backend and database, then log in again</t>
  </si>
  <si>
    <t>All profiles, messages, favorites and notes are unchanged</t>
  </si>
  <si>
    <t>counts users,messages,favorites,notes = 13,9,2,3; 2 messages, 1 favorite, 1 note identical (same IDs and times) after restarting the PostgreSQL container and the backend, then logging in again</t>
  </si>
  <si>
    <t>SY03: Health check</t>
  </si>
  <si>
    <t>Perform health check by api (GET */health) on the backend and on the Match Engine</t>
  </si>
  <si>
    <t>Both return 200 with status ok</t>
  </si>
  <si>
    <t>backend {"status":"ok","timestamp":"2026-10-27T10:11:49.721Z"}; Match Engine (100.79.98.56:8000) {"status":"ok","service":"dating-match-engine"}</t>
  </si>
  <si>
    <t>O2. Time stamps are stored in UTC and shown in Bangkok time.</t>
  </si>
  <si>
    <t>SY04: Time stamps</t>
  </si>
  <si>
    <t>Check message and note times in the API and the app</t>
  </si>
  <si>
    <t>API uses UTC ISO 8601 (ending in Z). App shows Bangkok time (UTC+7)</t>
  </si>
  <si>
    <t>API half passed: message 2026-10-27T10:12:50.559Z, note 2026-10-27T10:12:50.565Z, database UTC 2026-10-27T10:12:50. Screen half to confirm on the iPhone: the app must show these times in Bangkok time (UTC+7)</t>
  </si>
  <si>
    <t>O3. The system still works when an outside service fails.</t>
  </si>
  <si>
    <t>SY05: Nominatim not reachable (A9)</t>
  </si>
  <si>
    <t>Set NOMINATIM_URL to a wrong address, restart the backend, then create a profile</t>
  </si>
  <si>
    <t>Profile is still created with an empty place name. Backend log shows the lookup error. No 500 to the app</t>
  </si>
  <si>
    <t>201 with placeName null; log line: Nominatim request failed: 92 |      * @throws ApiError 500 GEOCODER_UNAVAILABLE on a network error, timeout, non 2xx status or</t>
  </si>
  <si>
    <t>Mai Ru Online Dating System: Functional Test Run Summary</t>
  </si>
  <si>
    <t>First full run of MaiRu_FunctionalTestPlan (SEN-201). Results are in column E and F of sheets 1 to 8.</t>
  </si>
  <si>
    <t>Run details</t>
  </si>
  <si>
    <t>Date of run</t>
  </si>
  <si>
    <t>27 October 2026 (UTC)</t>
  </si>
  <si>
    <t>Backend under test</t>
  </si>
  <si>
    <t>This repository, branch main, commit 4d8ec2e, started with bun src/index.ts on http://localhost:3000/api/v1 (Windows 11, Bun 1.4.2).</t>
  </si>
  <si>
    <t>Database</t>
  </si>
  <si>
    <t>PostgreSQL 18 in Docker (separate test database). Loaded with bun run db:seed (prisma/seed.ts). The database was loaded again before the cases that change messages or favorites.</t>
  </si>
  <si>
    <t>Photo storage</t>
  </si>
  <si>
    <t>RustFS in Docker, bucket mairu-photos.</t>
  </si>
  <si>
    <t>Match Engine</t>
  </si>
  <si>
    <t>Dev server, http://100.79.98.56:8000 (dating-match-engine, /health returned ok).</t>
  </si>
  <si>
    <t>Place lookup</t>
  </si>
  <si>
    <t>Live Nominatim (nominatim.openstreetmap.org). SY05 used a second backend with an address that cannot be reached.</t>
  </si>
  <si>
    <t>Extra backend copies</t>
  </si>
  <si>
    <t>Port 3001: database with the 60 message thread (CH06). Port 3002: access token life 60 seconds (LG09). Port 3003: Match Engine address that cannot be reached (FM17). Port 3004: Nominatim address that cannot be reached (SY05).</t>
  </si>
  <si>
    <t>Dev server</t>
  </si>
  <si>
    <t>http://100.79.98.56:3000 answers health checks, but on 27 October it had no seed data (login as alice returned 401 and the test usernames were free). So it was not used for the cases.</t>
  </si>
  <si>
    <t>square_500.jpg 0.11 MB, other_square.jpg 0.07 MB, wide_800x600.jpg 0.16 MB, square_big.jpg 1.15 MB, a 5.67 MB square jpg, a 9.1 MB square jpg and anim.gif. They were made with sharp (random noise), because the original test files are not in the repository.</t>
  </si>
  <si>
    <t>Results</t>
  </si>
  <si>
    <t>Fail</t>
  </si>
  <si>
    <t>Total</t>
  </si>
  <si>
    <t>All sheets</t>
  </si>
  <si>
    <t>Run and the result equals the expected result.</t>
  </si>
  <si>
    <t>Run and the result is different from the expected result.</t>
  </si>
  <si>
    <t>Cannot be tested through the API. It is a screen only check.</t>
  </si>
  <si>
    <t>Failed cases</t>
  </si>
  <si>
    <t>Case</t>
  </si>
  <si>
    <t>What happened</t>
  </si>
  <si>
    <t>Cause and next step</t>
  </si>
  <si>
    <t>CP17</t>
  </si>
  <si>
    <t>The place name is not empty. Nominatim now gives Chon Buri, Sattahip for the point 12.5, 100.9. With the open sea point 0, 0 the profile is saved with an empty place name (201), so the rule itself works.</t>
  </si>
  <si>
    <t>Test data problem. Change the test data of CP17 to the point 0, 0.</t>
  </si>
  <si>
    <t>CP20</t>
  </si>
  <si>
    <t>A 1.15 MB photo is accepted (201). A 5.67 MB photo is rejected (400 INVALID_INPUT, photo too large).</t>
  </si>
  <si>
    <t>The plan says 1 MB (assumption A5). The limit is 5 MB since PR #12 (commit 65c66aa) and in docs/api-contract.md. Change CP20 and A5 to 5 MB.</t>
  </si>
  <si>
    <t>CP21</t>
  </si>
  <si>
    <t>A 800x600 photo is accepted (201) and stored as 600x600.</t>
  </si>
  <si>
    <t>The plan says a photo that is not square is rejected. docs/api-contract.md says it is cropped to a square. Change CP21 and A5.</t>
  </si>
  <si>
    <t>All three failures are differences between the plan text and the current specification. No case showed a backend bug.</t>
  </si>
  <si>
    <t>Other findings</t>
  </si>
  <si>
    <t xml:space="preserve">1. LG06 (security): an unknown username is rejected in about 164 ms and a wrong password in about 114 ms (8 tries each). The answers are the same, but the time is not, so an attacker can find out which usernames exist. docs/api-contract.md says both take the same time. </t>
  </si>
  <si>
    <t>2. Plan rule A1 says a username has 4 to 20 characters, but the seed users bob, dan, ekk, fah, gun and joe have 3 letters. They can only come from the seed script. The sign up form would reject them. Change the test usernames or the rule.</t>
  </si>
  <si>
    <t>3. The Overview sheet lists case ranges (for example CP01 to CP27, MS01 to MS14, SY01 to SY11), but the workbook has 84 cases. Missing IDs: CP23 to CP25, MS03, MS07, MS08, MS10 to MS14, FV05 to FV07, SY06 to SY11.</t>
  </si>
  <si>
    <t>4. CH05: the API returns messages newest first. The app must reverse the list to show them in time order.</t>
  </si>
  <si>
    <t>5. A request body above 6 MiB is refused with HTTP 413 and no JSON body (documented in src/config/server.ts). The app must handle it without the standard error shape.</t>
  </si>
  <si>
    <t>6. FM14 and CP22: the error names the right field, but the message is the generic text 'The request has invalid or missing data.'.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</si>
</sst>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 mmm yyyy"/>
    <numFmt numFmtId="165" formatCode="0.0000"/>
    <numFmt numFmtId="166" formatCode="0.0"/>
  </numFmts>
  <fonts count="15">
    <font>
      <sz val="11.0"/>
      <color theme="1"/>
      <name val="Calibri"/>
      <scheme val="minor"/>
    </font>
    <font>
      <b/>
      <sz val="14.0"/>
      <color theme="1"/>
      <name val="Arial"/>
    </font>
    <font>
      <i/>
      <sz val="9.0"/>
      <color rgb="FF555555"/>
      <name val="Arial"/>
    </font>
    <font>
      <b/>
      <sz val="11.0"/>
      <color theme="1"/>
      <name val="Arial"/>
    </font>
    <font>
      <b/>
      <sz val="10.0"/>
      <color theme="1"/>
      <name val="Arial"/>
    </font>
    <font>
      <sz val="10.0"/>
      <color theme="1"/>
      <name val="Arial"/>
    </font>
    <font/>
    <font>
      <b/>
      <color rgb="FF7F6000"/>
      <name val="Calibri"/>
      <scheme val="minor"/>
    </font>
    <font>
      <sz val="10.0"/>
      <color theme="1"/>
      <name val="Calibri"/>
      <scheme val="minor"/>
    </font>
    <font>
      <b/>
      <color rgb="FF006100"/>
      <name val="Calibri"/>
      <scheme val="minor"/>
    </font>
    <font>
      <b/>
      <color rgb="FF404040"/>
      <name val="Calibri"/>
      <scheme val="minor"/>
    </font>
    <font>
      <b/>
      <color rgb="FF9C0006"/>
      <name val="Calibri"/>
      <scheme val="minor"/>
    </font>
    <font>
      <b/>
      <sz val="16.0"/>
      <color theme="1"/>
      <name val="Calibri"/>
      <scheme val="minor"/>
    </font>
    <font>
      <b/>
      <sz val="11.0"/>
      <color theme="1"/>
      <name val="Calibri"/>
      <scheme val="minor"/>
    </font>
    <font>
      <b/>
      <color theme="1"/>
      <name val="Calibri"/>
      <scheme val="minor"/>
    </font>
  </fonts>
  <fills count="9">
    <fill>
      <patternFill patternType="none"/>
    </fill>
    <fill>
      <patternFill patternType="lightGray"/>
    </fill>
    <fill>
      <patternFill patternType="solid">
        <fgColor rgb="FFF2F2F2"/>
        <bgColor rgb="FFF2F2F2"/>
      </patternFill>
    </fill>
    <fill>
      <patternFill patternType="solid">
        <fgColor rgb="FFD9D9D9"/>
        <bgColor rgb="FFD9D9D9"/>
      </patternFill>
    </fill>
    <fill>
      <patternFill patternType="solid">
        <fgColor rgb="FFFFF2CC"/>
        <bgColor rgb="FFFFF2CC"/>
      </patternFill>
    </fill>
    <fill>
      <patternFill patternType="solid">
        <fgColor rgb="FFFFEB9C"/>
        <bgColor rgb="FFFFEB9C"/>
      </patternFill>
    </fill>
    <fill>
      <patternFill patternType="solid">
        <fgColor rgb="FFC6EFCE"/>
        <bgColor rgb="FFC6EFCE"/>
      </patternFill>
    </fill>
    <fill>
      <patternFill patternType="solid">
        <fgColor rgb="FFFFC7CE"/>
        <bgColor rgb="FFFFC7CE"/>
      </patternFill>
    </fill>
    <fill>
      <patternFill patternType="solid">
        <fgColor rgb="FFD9E1F2"/>
        <bgColor rgb="FFD9E1F2"/>
      </patternFill>
    </fill>
  </fills>
  <borders count="16">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left style="thin">
        <color rgb="FF999999"/>
      </left>
      <right style="thin">
        <color rgb="FF999999"/>
      </right>
      <top style="thin">
        <color rgb="FF999999"/>
      </top>
    </border>
    <border>
      <left style="thin">
        <color rgb="FFBFBFBF"/>
      </left>
      <right style="thin">
        <color rgb="FFBFBFBF"/>
      </right>
      <top style="thin">
        <color rgb="FFBFBFBF"/>
      </top>
      <bottom style="thin">
        <color rgb="FFBFBFBF"/>
      </bottom>
    </border>
    <border>
      <right style="thin">
        <color rgb="FF999999"/>
      </right>
      <top style="thin">
        <color rgb="FF999999"/>
      </top>
      <bottom style="thin">
        <color rgb="FF999999"/>
      </bottom>
    </border>
    <border>
      <left style="thin">
        <color rgb="FF999999"/>
      </left>
      <right style="thin">
        <color rgb="FF999999"/>
      </right>
    </border>
    <border>
      <left style="thin">
        <color rgb="FF999999"/>
      </left>
      <right style="thin">
        <color rgb="FF999999"/>
      </right>
      <bottom style="thin">
        <color rgb="FF999999"/>
      </bottom>
    </border>
    <border>
      <left/>
      <top/>
      <bottom/>
    </border>
    <border>
      <top/>
      <bottom/>
    </border>
    <border>
      <right/>
      <top/>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vertical="top"/>
    </xf>
    <xf borderId="0" fillId="0" fontId="2" numFmtId="0" xfId="0" applyAlignment="1" applyFont="1">
      <alignment vertical="top"/>
    </xf>
    <xf borderId="0" fillId="0" fontId="3" numFmtId="0" xfId="0" applyAlignment="1" applyFont="1">
      <alignment vertical="top"/>
    </xf>
    <xf borderId="1" fillId="2" fontId="4" numFmtId="0" xfId="0" applyAlignment="1" applyBorder="1" applyFill="1" applyFont="1">
      <alignment shrinkToFit="0" vertical="top" wrapText="1"/>
    </xf>
    <xf borderId="1" fillId="3" fontId="4" numFmtId="0" xfId="0" applyAlignment="1" applyBorder="1" applyFill="1" applyFont="1">
      <alignment shrinkToFit="0" vertical="top" wrapText="1"/>
    </xf>
    <xf borderId="2" fillId="0" fontId="5" numFmtId="0" xfId="0" applyAlignment="1" applyBorder="1" applyFont="1">
      <alignment shrinkToFit="0" vertical="top" wrapText="1"/>
    </xf>
    <xf borderId="1" fillId="0" fontId="5" numFmtId="0" xfId="0" applyAlignment="1" applyBorder="1" applyFont="1">
      <alignment shrinkToFit="0" vertical="top" wrapText="1"/>
    </xf>
    <xf borderId="3" fillId="0" fontId="6" numFmtId="0" xfId="0" applyBorder="1" applyFont="1"/>
    <xf borderId="1" fillId="3" fontId="4" numFmtId="0" xfId="0" applyAlignment="1" applyBorder="1" applyFill="1" applyFont="1">
      <alignment shrinkToFit="0" vertical="center" wrapText="1"/>
    </xf>
    <xf borderId="1" fillId="4" fontId="5" numFmtId="164" xfId="0" applyAlignment="1" applyBorder="1" applyFill="1" applyFont="1" applyNumberFormat="1">
      <alignment shrinkToFit="0" vertical="top" wrapText="1"/>
    </xf>
    <xf borderId="4" fillId="0" fontId="4" numFmtId="0" xfId="0" applyAlignment="1" applyBorder="1" applyFont="1">
      <alignment shrinkToFit="0" vertical="top" wrapText="1"/>
    </xf>
    <xf borderId="5" fillId="5" fontId="7" numFmtId="0" xfId="0" applyAlignment="1" applyBorder="1" applyFill="1" applyFont="1">
      <alignment horizontal="center" shrinkToFit="0" vertical="top" wrapText="1"/>
    </xf>
    <xf borderId="5" fillId="0" fontId="8" numFmtId="0" xfId="0" applyAlignment="1" applyBorder="1" applyFont="1">
      <alignment shrinkToFit="0" vertical="top" wrapText="1"/>
    </xf>
    <xf borderId="2" fillId="3" fontId="4" numFmtId="0" xfId="0" applyAlignment="1" applyBorder="1" applyFill="1" applyFont="1">
      <alignment shrinkToFit="0" vertical="top" wrapText="1"/>
    </xf>
    <xf borderId="6" fillId="0" fontId="6" numFmtId="0" xfId="0" applyBorder="1" applyFont="1"/>
    <xf borderId="7" fillId="0" fontId="6" numFmtId="0" xfId="0" applyBorder="1" applyFont="1"/>
    <xf borderId="8" fillId="0" fontId="6" numFmtId="0" xfId="0" applyBorder="1" applyFont="1"/>
    <xf borderId="5" fillId="6" fontId="9" numFmtId="0" xfId="0" applyAlignment="1" applyBorder="1" applyFill="1" applyFont="1">
      <alignment horizontal="center" shrinkToFit="0" vertical="top" wrapText="1"/>
    </xf>
    <xf borderId="2" fillId="0" fontId="5" numFmtId="0" xfId="0" applyAlignment="1" applyBorder="1" applyFont="1">
      <alignment horizontal="left" readingOrder="1" shrinkToFit="0" vertical="top" wrapText="1"/>
    </xf>
    <xf borderId="1" fillId="0" fontId="5" numFmtId="164" xfId="0" applyAlignment="1" applyBorder="1" applyFont="1" applyNumberFormat="1">
      <alignment shrinkToFit="0" vertical="top" wrapText="1"/>
    </xf>
    <xf borderId="1" fillId="0" fontId="5" numFmtId="0" xfId="0" applyAlignment="1" applyBorder="1" applyFont="1">
      <alignment horizontal="left" readingOrder="1" shrinkToFit="0" vertical="top" wrapText="1"/>
    </xf>
    <xf borderId="0" fillId="0" fontId="2" numFmtId="0" xfId="0" applyAlignment="1" applyFont="1">
      <alignment shrinkToFit="0" vertical="top" wrapText="1"/>
    </xf>
    <xf borderId="5" fillId="3" fontId="10" numFmtId="0" xfId="0" applyAlignment="1" applyBorder="1" applyFill="1" applyFont="1">
      <alignment horizontal="center" shrinkToFit="0" vertical="top" wrapText="1"/>
    </xf>
    <xf borderId="1" fillId="4" fontId="5" numFmtId="0" xfId="0" applyAlignment="1" applyBorder="1" applyFill="1" applyFont="1">
      <alignment shrinkToFit="0" vertical="top" wrapText="1"/>
    </xf>
    <xf borderId="1" fillId="0" fontId="5" numFmtId="165" xfId="0" applyAlignment="1" applyBorder="1" applyFont="1" applyNumberFormat="1">
      <alignment shrinkToFit="0" vertical="top" wrapText="1"/>
    </xf>
    <xf borderId="5" fillId="7" fontId="11" numFmtId="0" xfId="0" applyAlignment="1" applyBorder="1" applyFill="1" applyFont="1">
      <alignment horizontal="center" readingOrder="0" shrinkToFit="0" vertical="top" wrapText="1"/>
    </xf>
    <xf borderId="5" fillId="0" fontId="8" numFmtId="0" xfId="0" applyAlignment="1" applyBorder="1" applyFont="1">
      <alignment readingOrder="0" shrinkToFit="0" vertical="top" wrapText="1"/>
    </xf>
    <xf borderId="4" fillId="0" fontId="4" numFmtId="0" xfId="0" applyAlignment="1" applyBorder="1" applyFont="1">
      <alignment horizontal="left" readingOrder="1" shrinkToFit="0" vertical="top" wrapText="1"/>
    </xf>
    <xf borderId="1" fillId="0" fontId="5" numFmtId="166" xfId="0" applyAlignment="1" applyBorder="1" applyFont="1" applyNumberFormat="1">
      <alignment shrinkToFit="0" vertical="top" wrapText="1"/>
    </xf>
    <xf borderId="1" fillId="0" fontId="4" numFmtId="0" xfId="0" applyAlignment="1" applyBorder="1" applyFont="1">
      <alignment shrinkToFit="0" vertical="top" wrapText="1"/>
    </xf>
    <xf borderId="1" fillId="0" fontId="4" numFmtId="0" xfId="0" applyAlignment="1" applyBorder="1" applyFont="1">
      <alignment horizontal="left" readingOrder="1" shrinkToFit="0" vertical="top" wrapText="1"/>
    </xf>
    <xf borderId="0" fillId="0" fontId="12" numFmtId="0" xfId="0" applyAlignment="1" applyFont="1">
      <alignment shrinkToFit="0" vertical="top" wrapText="1"/>
    </xf>
    <xf borderId="0" fillId="0" fontId="0" numFmtId="0" xfId="0" applyAlignment="1" applyFont="1">
      <alignment shrinkToFit="0" vertical="top" wrapText="1"/>
    </xf>
    <xf borderId="9" fillId="8" fontId="13" numFmtId="0" xfId="0" applyAlignment="1" applyBorder="1" applyFill="1" applyFont="1">
      <alignment shrinkToFit="0" vertical="top" wrapText="1"/>
    </xf>
    <xf borderId="10" fillId="0" fontId="6" numFmtId="0" xfId="0" applyBorder="1" applyFont="1"/>
    <xf borderId="11" fillId="0" fontId="6" numFmtId="0" xfId="0" applyBorder="1" applyFont="1"/>
    <xf borderId="0" fillId="0" fontId="14" numFmtId="0" xfId="0" applyAlignment="1" applyFont="1">
      <alignment shrinkToFit="0" vertical="top" wrapText="1"/>
    </xf>
    <xf borderId="0" fillId="0" fontId="0" numFmtId="0" xfId="0" applyAlignment="1" applyFont="1">
      <alignment readingOrder="0" shrinkToFit="0" vertical="top" wrapText="1"/>
    </xf>
    <xf borderId="0" fillId="0" fontId="14" numFmtId="0" xfId="0" applyAlignment="1" applyFont="1">
      <alignment readingOrder="0" shrinkToFit="0" vertical="top" wrapText="1"/>
    </xf>
    <xf borderId="5" fillId="2" fontId="13" numFmtId="0" xfId="0" applyAlignment="1" applyBorder="1" applyFill="1" applyFont="1">
      <alignment shrinkToFit="0" vertical="top" wrapText="1"/>
    </xf>
    <xf borderId="5" fillId="0" fontId="0" numFmtId="0" xfId="0" applyAlignment="1" applyBorder="1" applyFont="1">
      <alignment shrinkToFit="0" vertical="top" wrapText="1"/>
    </xf>
    <xf borderId="5" fillId="0" fontId="0" numFmtId="0" xfId="0" applyAlignment="1" applyBorder="1" applyFont="1">
      <alignment horizontal="center"/>
    </xf>
    <xf borderId="5" fillId="2" fontId="13" numFmtId="0" xfId="0" applyAlignment="1" applyBorder="1" applyFill="1" applyFont="1">
      <alignment horizontal="center"/>
    </xf>
    <xf borderId="5" fillId="7" fontId="11" numFmtId="0" xfId="0" applyAlignment="1" applyBorder="1" applyFill="1" applyFont="1">
      <alignment horizontal="center" shrinkToFit="0" vertical="top" wrapText="1"/>
    </xf>
    <xf borderId="12" fillId="2" fontId="13" numFmtId="0" xfId="0" applyAlignment="1" applyBorder="1" applyFill="1" applyFont="1">
      <alignment shrinkToFit="0" vertical="top" wrapText="1"/>
    </xf>
    <xf borderId="9" fillId="2" fontId="13" numFmtId="0" xfId="0" applyAlignment="1" applyBorder="1" applyFill="1" applyFont="1">
      <alignment shrinkToFit="0" vertical="top" wrapText="1"/>
    </xf>
    <xf borderId="13" fillId="0" fontId="0" numFmtId="0" xfId="0" applyAlignment="1" applyBorder="1" applyFont="1">
      <alignment shrinkToFit="0" vertical="top" wrapText="1"/>
    </xf>
    <xf borderId="14" fillId="0" fontId="6" numFmtId="0" xfId="0" applyBorder="1" applyFont="1"/>
    <xf borderId="15" fillId="0" fontId="6" numFmtId="0" xfId="0" applyBorder="1" applyFont="1"/>
    <xf borderId="13" fillId="0" fontId="0" numFmtId="0" xfId="0" applyAlignment="1" applyBorder="1" applyFont="1">
      <alignment readingOrder="0" shrinkToFit="0" vertical="top" wrapText="1"/>
    </xf>
    <xf borderId="0" fillId="0" fontId="1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6.0"/>
    <col customWidth="1" min="2" max="2" width="60.0"/>
    <col customWidth="1" min="3" max="3" width="22.0"/>
    <col customWidth="1" min="4" max="4" width="28.14"/>
    <col customWidth="1" min="5" max="6" width="8.71"/>
  </cols>
  <sheetData>
    <row r="1">
      <c r="A1" s="1" t="s">
        <v>0</v>
      </c>
    </row>
    <row r="2">
      <c r="A2" s="3" t="s">
        <v>4</v>
      </c>
    </row>
    <row r="4" ht="45.0" customHeight="1">
      <c r="A4" s="5" t="s">
        <v>9</v>
      </c>
      <c r="B4" s="7" t="s">
        <v>14</v>
      </c>
      <c r="C4" s="9"/>
      <c r="D4" s="9"/>
    </row>
    <row r="5" ht="45.0" customHeight="1">
      <c r="A5" s="5" t="s">
        <v>25</v>
      </c>
      <c r="B5" s="7" t="s">
        <v>29</v>
      </c>
      <c r="C5" s="9"/>
      <c r="D5" s="9"/>
    </row>
    <row r="6" ht="60.0" customHeight="1">
      <c r="A6" s="5" t="s">
        <v>36</v>
      </c>
      <c r="B6" s="7" t="s">
        <v>40</v>
      </c>
      <c r="C6" s="9"/>
      <c r="D6" s="9"/>
    </row>
    <row r="7" ht="30.0" customHeight="1">
      <c r="A7" s="5" t="s">
        <v>45</v>
      </c>
      <c r="B7" s="7" t="s">
        <v>48</v>
      </c>
      <c r="C7" s="9"/>
      <c r="D7" s="9"/>
    </row>
    <row r="8" ht="45.0" customHeight="1">
      <c r="A8" s="5" t="s">
        <v>52</v>
      </c>
      <c r="B8" s="7" t="s">
        <v>56</v>
      </c>
      <c r="C8" s="9"/>
      <c r="D8" s="9"/>
    </row>
    <row r="9" ht="45.0" customHeight="1">
      <c r="A9" s="5" t="s">
        <v>58</v>
      </c>
      <c r="B9" s="7" t="s">
        <v>59</v>
      </c>
      <c r="C9" s="9"/>
      <c r="D9" s="9"/>
    </row>
    <row r="10" ht="30.0" customHeight="1">
      <c r="A10" s="5" t="s">
        <v>65</v>
      </c>
      <c r="B10" s="7" t="s">
        <v>68</v>
      </c>
      <c r="C10" s="9"/>
      <c r="D10" s="9"/>
    </row>
    <row r="11" ht="60.0" customHeight="1">
      <c r="A11" s="5" t="s">
        <v>76</v>
      </c>
      <c r="B11" s="7" t="s">
        <v>77</v>
      </c>
      <c r="C11" s="9"/>
      <c r="D11" s="9"/>
    </row>
    <row r="13">
      <c r="A13" s="4" t="s">
        <v>84</v>
      </c>
    </row>
    <row r="14" ht="30.0" customHeight="1">
      <c r="A14" s="5" t="s">
        <v>35</v>
      </c>
      <c r="B14" s="7" t="s">
        <v>85</v>
      </c>
      <c r="C14" s="9"/>
      <c r="D14" s="9"/>
    </row>
    <row r="15" ht="30.0" customHeight="1">
      <c r="A15" s="5" t="s">
        <v>39</v>
      </c>
      <c r="B15" s="7" t="s">
        <v>88</v>
      </c>
      <c r="C15" s="9"/>
      <c r="D15" s="9"/>
    </row>
    <row r="16" ht="30.0" customHeight="1">
      <c r="A16" s="5" t="s">
        <v>41</v>
      </c>
      <c r="B16" s="7" t="s">
        <v>95</v>
      </c>
      <c r="C16" s="9"/>
      <c r="D16" s="9"/>
    </row>
    <row r="17" ht="30.0" customHeight="1">
      <c r="A17" s="5" t="s">
        <v>43</v>
      </c>
      <c r="B17" s="7" t="s">
        <v>99</v>
      </c>
      <c r="C17" s="9"/>
      <c r="D17" s="9"/>
    </row>
    <row r="18" ht="30.0" customHeight="1">
      <c r="A18" s="5" t="s">
        <v>103</v>
      </c>
      <c r="B18" s="7" t="s">
        <v>106</v>
      </c>
      <c r="C18" s="9"/>
      <c r="D18" s="9"/>
    </row>
    <row r="20">
      <c r="A20" s="4" t="s">
        <v>111</v>
      </c>
    </row>
    <row r="21" ht="25.5" customHeight="1">
      <c r="A21" s="23" t="s">
        <v>114</v>
      </c>
    </row>
    <row r="22" ht="18.0" customHeight="1">
      <c r="A22" s="6" t="s">
        <v>122</v>
      </c>
      <c r="B22" s="6" t="s">
        <v>125</v>
      </c>
      <c r="C22" s="6" t="s">
        <v>126</v>
      </c>
      <c r="D22" s="6" t="s">
        <v>128</v>
      </c>
    </row>
    <row r="23" ht="18.0" customHeight="1">
      <c r="A23" s="8" t="s">
        <v>130</v>
      </c>
      <c r="B23" s="8" t="s">
        <v>132</v>
      </c>
      <c r="C23" s="8" t="s">
        <v>133</v>
      </c>
      <c r="D23" s="8" t="s">
        <v>134</v>
      </c>
    </row>
    <row r="24" ht="18.0" customHeight="1">
      <c r="A24" s="8" t="s">
        <v>135</v>
      </c>
      <c r="B24" s="8" t="s">
        <v>136</v>
      </c>
      <c r="C24" s="8" t="s">
        <v>137</v>
      </c>
      <c r="D24" s="8" t="s">
        <v>139</v>
      </c>
    </row>
    <row r="25" ht="18.0" customHeight="1">
      <c r="A25" s="8" t="s">
        <v>141</v>
      </c>
      <c r="B25" s="8" t="s">
        <v>143</v>
      </c>
      <c r="C25" s="8" t="s">
        <v>145</v>
      </c>
      <c r="D25" s="8" t="s">
        <v>147</v>
      </c>
    </row>
    <row r="26" ht="18.0" customHeight="1">
      <c r="A26" s="8" t="s">
        <v>148</v>
      </c>
      <c r="B26" s="8" t="s">
        <v>150</v>
      </c>
      <c r="C26" s="8" t="s">
        <v>151</v>
      </c>
      <c r="D26" s="8" t="s">
        <v>153</v>
      </c>
    </row>
    <row r="27" ht="18.0" customHeight="1">
      <c r="A27" s="8" t="s">
        <v>156</v>
      </c>
      <c r="B27" s="8" t="s">
        <v>150</v>
      </c>
      <c r="C27" s="8" t="s">
        <v>145</v>
      </c>
      <c r="D27" s="8" t="s">
        <v>159</v>
      </c>
    </row>
    <row r="28" ht="18.0" customHeight="1">
      <c r="A28" s="8" t="s">
        <v>161</v>
      </c>
      <c r="B28" s="8" t="s">
        <v>164</v>
      </c>
      <c r="C28" s="8" t="s">
        <v>151</v>
      </c>
      <c r="D28" s="8" t="s">
        <v>168</v>
      </c>
    </row>
    <row r="29" ht="18.0" customHeight="1">
      <c r="A29" s="8" t="s">
        <v>170</v>
      </c>
      <c r="B29" s="8" t="s">
        <v>164</v>
      </c>
      <c r="C29" s="8" t="s">
        <v>145</v>
      </c>
      <c r="D29" s="8" t="s">
        <v>176</v>
      </c>
    </row>
    <row r="30" ht="18.0" customHeight="1">
      <c r="A30" s="8" t="s">
        <v>178</v>
      </c>
      <c r="B30" s="8" t="s">
        <v>179</v>
      </c>
      <c r="C30" s="8" t="s">
        <v>179</v>
      </c>
      <c r="D30" s="8" t="s">
        <v>183</v>
      </c>
    </row>
    <row r="31" ht="15.75" customHeight="1"/>
    <row r="32" ht="15.75" customHeight="1">
      <c r="A32" s="4" t="s">
        <v>187</v>
      </c>
    </row>
    <row r="33" ht="25.5" customHeight="1">
      <c r="A33" s="23" t="s">
        <v>191</v>
      </c>
    </row>
    <row r="34" ht="15.75" customHeight="1">
      <c r="A34" s="6" t="s">
        <v>193</v>
      </c>
      <c r="B34" s="6" t="s">
        <v>195</v>
      </c>
      <c r="C34" s="6" t="s">
        <v>70</v>
      </c>
      <c r="D34" s="6" t="s">
        <v>198</v>
      </c>
    </row>
    <row r="35" ht="27.75" customHeight="1">
      <c r="A35" s="8" t="s">
        <v>200</v>
      </c>
      <c r="B35" s="25" t="s">
        <v>204</v>
      </c>
      <c r="C35" s="8" t="s">
        <v>145</v>
      </c>
      <c r="D35" s="8" t="s">
        <v>205</v>
      </c>
    </row>
    <row r="36" ht="27.75" customHeight="1">
      <c r="A36" s="8" t="s">
        <v>207</v>
      </c>
      <c r="B36" s="25" t="s">
        <v>208</v>
      </c>
      <c r="C36" s="8" t="s">
        <v>145</v>
      </c>
      <c r="D36" s="8" t="s">
        <v>205</v>
      </c>
    </row>
    <row r="37" ht="27.75" customHeight="1">
      <c r="A37" s="8" t="s">
        <v>211</v>
      </c>
      <c r="B37" s="25" t="s">
        <v>213</v>
      </c>
      <c r="C37" s="8" t="s">
        <v>214</v>
      </c>
      <c r="D37" s="8" t="s">
        <v>205</v>
      </c>
    </row>
    <row r="38" ht="27.75" customHeight="1">
      <c r="A38" s="8" t="s">
        <v>216</v>
      </c>
      <c r="B38" s="25" t="s">
        <v>217</v>
      </c>
      <c r="C38" s="8" t="s">
        <v>214</v>
      </c>
      <c r="D38" s="8" t="s">
        <v>205</v>
      </c>
    </row>
    <row r="39" ht="27.75" customHeight="1">
      <c r="A39" s="8" t="s">
        <v>219</v>
      </c>
      <c r="B39" s="25" t="s">
        <v>220</v>
      </c>
      <c r="C39" s="8" t="s">
        <v>151</v>
      </c>
      <c r="D39" s="8" t="s">
        <v>223</v>
      </c>
    </row>
    <row r="40" ht="27.75" customHeight="1">
      <c r="A40" s="22" t="s">
        <v>226</v>
      </c>
      <c r="B40" s="25" t="s">
        <v>230</v>
      </c>
      <c r="C40" s="8" t="s">
        <v>137</v>
      </c>
      <c r="D40" s="8" t="s">
        <v>205</v>
      </c>
    </row>
    <row r="41" ht="27.75" customHeight="1">
      <c r="A41" s="22" t="s">
        <v>234</v>
      </c>
      <c r="B41" s="25" t="s">
        <v>235</v>
      </c>
      <c r="C41" s="8" t="s">
        <v>137</v>
      </c>
      <c r="D41" s="8" t="s">
        <v>205</v>
      </c>
    </row>
    <row r="42" ht="27.75" customHeight="1">
      <c r="A42" s="22" t="s">
        <v>239</v>
      </c>
      <c r="B42" s="25" t="s">
        <v>240</v>
      </c>
      <c r="C42" s="8" t="s">
        <v>137</v>
      </c>
      <c r="D42" s="8" t="s">
        <v>242</v>
      </c>
    </row>
    <row r="43" ht="27.75" customHeight="1">
      <c r="A43" s="22" t="s">
        <v>244</v>
      </c>
      <c r="B43" s="25" t="s">
        <v>246</v>
      </c>
      <c r="C43" s="8" t="s">
        <v>145</v>
      </c>
      <c r="D43" s="8" t="s">
        <v>248</v>
      </c>
    </row>
    <row r="44" ht="27.75" customHeight="1">
      <c r="A44" s="22" t="s">
        <v>249</v>
      </c>
      <c r="B44" s="25" t="s">
        <v>251</v>
      </c>
      <c r="C44" s="8" t="s">
        <v>151</v>
      </c>
      <c r="D44" s="8" t="s">
        <v>252</v>
      </c>
    </row>
    <row r="45" ht="27.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11:D11"/>
    <mergeCell ref="B14:D14"/>
    <mergeCell ref="B15:D15"/>
    <mergeCell ref="B16:D16"/>
    <mergeCell ref="B17:D17"/>
    <mergeCell ref="B18:D18"/>
    <mergeCell ref="A21:D21"/>
    <mergeCell ref="A33:D33"/>
    <mergeCell ref="B4:D4"/>
    <mergeCell ref="B5:D5"/>
    <mergeCell ref="B6:D6"/>
    <mergeCell ref="B7:D7"/>
    <mergeCell ref="B8:D8"/>
    <mergeCell ref="B9:D9"/>
    <mergeCell ref="B10:D10"/>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4.43" defaultRowHeight="15.0"/>
  <cols>
    <col customWidth="1" min="1" max="1" width="10.0"/>
    <col customWidth="1" min="2" max="3" width="11.0"/>
    <col customWidth="1" min="4" max="4" width="14.43"/>
    <col customWidth="1" min="5" max="5" width="13.0"/>
    <col customWidth="1" min="6" max="6" width="6.0"/>
    <col customWidth="1" min="7" max="7" width="10.0"/>
    <col customWidth="1" min="8" max="8" width="11.86"/>
    <col customWidth="1" min="9" max="9" width="15.0"/>
    <col customWidth="1" min="11" max="12" width="7.0"/>
    <col customWidth="1" min="13" max="13" width="8.0"/>
    <col customWidth="1" min="14" max="14" width="12.0"/>
    <col customWidth="1" min="15" max="15" width="14.0"/>
    <col customWidth="1" min="16" max="16" width="44.0"/>
  </cols>
  <sheetData>
    <row r="1">
      <c r="A1" s="2" t="s">
        <v>3</v>
      </c>
    </row>
    <row r="2">
      <c r="A2" s="3" t="s">
        <v>6</v>
      </c>
    </row>
    <row r="4">
      <c r="A4" s="5" t="s">
        <v>11</v>
      </c>
      <c r="B4" s="11">
        <f>TODAY()</f>
        <v>46322</v>
      </c>
      <c r="C4" s="3" t="s">
        <v>61</v>
      </c>
    </row>
    <row r="5">
      <c r="A5" s="5" t="s">
        <v>66</v>
      </c>
      <c r="B5" s="21">
        <f>DATE(YEAR(B4)-18,MONTH(B4),DAY(B4))</f>
        <v>39748</v>
      </c>
      <c r="C5" s="3" t="s">
        <v>116</v>
      </c>
    </row>
    <row r="6">
      <c r="A6" s="5" t="s">
        <v>120</v>
      </c>
      <c r="B6" s="21">
        <f>B5+1</f>
        <v>39749</v>
      </c>
      <c r="C6" s="3" t="s">
        <v>144</v>
      </c>
    </row>
    <row r="8" ht="42.0" customHeight="1">
      <c r="A8" s="6" t="s">
        <v>155</v>
      </c>
      <c r="B8" s="6" t="s">
        <v>158</v>
      </c>
      <c r="C8" s="6" t="s">
        <v>160</v>
      </c>
      <c r="D8" s="6" t="s">
        <v>162</v>
      </c>
      <c r="E8" s="6" t="s">
        <v>166</v>
      </c>
      <c r="F8" s="6" t="s">
        <v>169</v>
      </c>
      <c r="G8" s="6" t="s">
        <v>171</v>
      </c>
      <c r="H8" s="6" t="s">
        <v>173</v>
      </c>
      <c r="I8" s="6" t="s">
        <v>174</v>
      </c>
      <c r="J8" s="6" t="s">
        <v>177</v>
      </c>
      <c r="K8" s="6" t="s">
        <v>180</v>
      </c>
      <c r="L8" s="6" t="s">
        <v>182</v>
      </c>
      <c r="M8" s="6" t="s">
        <v>185</v>
      </c>
      <c r="N8" s="6" t="s">
        <v>188</v>
      </c>
      <c r="O8" s="6" t="s">
        <v>190</v>
      </c>
      <c r="P8" s="6" t="s">
        <v>192</v>
      </c>
    </row>
    <row r="9">
      <c r="A9" s="8" t="s">
        <v>21</v>
      </c>
      <c r="B9" s="8" t="s">
        <v>199</v>
      </c>
      <c r="C9" s="8" t="s">
        <v>202</v>
      </c>
      <c r="D9" s="8" t="s">
        <v>203</v>
      </c>
      <c r="E9" s="21">
        <v>36229.0</v>
      </c>
      <c r="F9" s="8">
        <f t="shared" ref="F9:F17" si="1">DATEDIF(E9,$B$4,"y")</f>
        <v>27</v>
      </c>
      <c r="G9" s="26">
        <v>13.7466</v>
      </c>
      <c r="H9" s="26">
        <v>100.5393</v>
      </c>
      <c r="I9" s="8" t="s">
        <v>227</v>
      </c>
      <c r="J9" s="8" t="s">
        <v>229</v>
      </c>
      <c r="K9" s="8">
        <v>24.0</v>
      </c>
      <c r="L9" s="8">
        <v>32.0</v>
      </c>
      <c r="M9" s="8">
        <v>50.0</v>
      </c>
      <c r="N9" s="30">
        <f t="shared" ref="N9:N17" si="2">ROUND(6371*2*ASIN(SQRT(SIN(RADIANS(G9-$G$9)/2)^2+COS(RADIANS($G$9))*COS(RADIANS(G9))*SIN(RADIANS(H9-$H$9)/2)^2)),1)</f>
        <v>0</v>
      </c>
      <c r="O9" s="8" t="str">
        <f t="shared" ref="O9:O17" si="3">IF(A9=$A$9,"Self, never shown",IF(AND(D9=$J$9,J9=$D$9,F9&gt;=$K$9,F9&lt;=$L$9,$F$9&gt;=K9,$F$9&lt;=L9,N9&lt;=$M$9,N9&lt;=M9),"Yes","No"))</f>
        <v>Self, never shown</v>
      </c>
      <c r="P9" s="8" t="s">
        <v>288</v>
      </c>
    </row>
    <row r="10">
      <c r="A10" s="8" t="s">
        <v>30</v>
      </c>
      <c r="B10" s="8" t="s">
        <v>289</v>
      </c>
      <c r="C10" s="8" t="s">
        <v>290</v>
      </c>
      <c r="D10" s="8" t="s">
        <v>229</v>
      </c>
      <c r="E10" s="21">
        <v>35935.0</v>
      </c>
      <c r="F10" s="8">
        <f t="shared" si="1"/>
        <v>28</v>
      </c>
      <c r="G10" s="26">
        <v>13.7279</v>
      </c>
      <c r="H10" s="26">
        <v>100.5241</v>
      </c>
      <c r="I10" s="8" t="s">
        <v>291</v>
      </c>
      <c r="J10" s="8" t="s">
        <v>203</v>
      </c>
      <c r="K10" s="8">
        <v>22.0</v>
      </c>
      <c r="L10" s="8">
        <v>30.0</v>
      </c>
      <c r="M10" s="8">
        <v>30.0</v>
      </c>
      <c r="N10" s="30">
        <f t="shared" si="2"/>
        <v>2.6</v>
      </c>
      <c r="O10" s="8" t="str">
        <f t="shared" si="3"/>
        <v>Yes</v>
      </c>
      <c r="P10" s="8" t="s">
        <v>292</v>
      </c>
    </row>
    <row r="11">
      <c r="A11" s="8" t="s">
        <v>20</v>
      </c>
      <c r="B11" s="8" t="s">
        <v>293</v>
      </c>
      <c r="C11" s="8" t="s">
        <v>294</v>
      </c>
      <c r="D11" s="8" t="s">
        <v>229</v>
      </c>
      <c r="E11" s="21">
        <v>36936.0</v>
      </c>
      <c r="F11" s="8">
        <f t="shared" si="1"/>
        <v>25</v>
      </c>
      <c r="G11" s="26">
        <v>13.8621</v>
      </c>
      <c r="H11" s="26">
        <v>100.5144</v>
      </c>
      <c r="I11" s="8" t="s">
        <v>295</v>
      </c>
      <c r="J11" s="8" t="s">
        <v>203</v>
      </c>
      <c r="K11" s="8">
        <v>22.0</v>
      </c>
      <c r="L11" s="8">
        <v>30.0</v>
      </c>
      <c r="M11" s="8">
        <v>20.0</v>
      </c>
      <c r="N11" s="30">
        <f t="shared" si="2"/>
        <v>13.1</v>
      </c>
      <c r="O11" s="8" t="str">
        <f t="shared" si="3"/>
        <v>Yes</v>
      </c>
      <c r="P11" s="8" t="s">
        <v>296</v>
      </c>
    </row>
    <row r="12">
      <c r="A12" s="8" t="s">
        <v>297</v>
      </c>
      <c r="B12" s="8" t="s">
        <v>298</v>
      </c>
      <c r="C12" s="8" t="s">
        <v>299</v>
      </c>
      <c r="D12" s="8" t="s">
        <v>229</v>
      </c>
      <c r="E12" s="21">
        <v>31052.0</v>
      </c>
      <c r="F12" s="8">
        <f t="shared" si="1"/>
        <v>41</v>
      </c>
      <c r="G12" s="26">
        <v>13.7563</v>
      </c>
      <c r="H12" s="26">
        <v>100.5018</v>
      </c>
      <c r="I12" s="8" t="s">
        <v>300</v>
      </c>
      <c r="J12" s="8" t="s">
        <v>203</v>
      </c>
      <c r="K12" s="8">
        <v>25.0</v>
      </c>
      <c r="L12" s="8">
        <v>45.0</v>
      </c>
      <c r="M12" s="8">
        <v>50.0</v>
      </c>
      <c r="N12" s="30">
        <f t="shared" si="2"/>
        <v>4.2</v>
      </c>
      <c r="O12" s="8" t="str">
        <f t="shared" si="3"/>
        <v>No</v>
      </c>
      <c r="P12" s="8" t="s">
        <v>301</v>
      </c>
    </row>
    <row r="13">
      <c r="A13" s="8" t="s">
        <v>302</v>
      </c>
      <c r="B13" s="8" t="s">
        <v>303</v>
      </c>
      <c r="C13" s="8" t="s">
        <v>304</v>
      </c>
      <c r="D13" s="8" t="s">
        <v>229</v>
      </c>
      <c r="E13" s="21">
        <v>35521.0</v>
      </c>
      <c r="F13" s="8">
        <f t="shared" si="1"/>
        <v>29</v>
      </c>
      <c r="G13" s="26">
        <v>18.7883</v>
      </c>
      <c r="H13" s="26">
        <v>98.9853</v>
      </c>
      <c r="I13" s="8" t="s">
        <v>305</v>
      </c>
      <c r="J13" s="8" t="s">
        <v>203</v>
      </c>
      <c r="K13" s="8">
        <v>22.0</v>
      </c>
      <c r="L13" s="8">
        <v>35.0</v>
      </c>
      <c r="M13" s="8">
        <v>1000.0</v>
      </c>
      <c r="N13" s="30">
        <f t="shared" si="2"/>
        <v>584.6</v>
      </c>
      <c r="O13" s="8" t="str">
        <f t="shared" si="3"/>
        <v>No</v>
      </c>
      <c r="P13" s="8" t="s">
        <v>306</v>
      </c>
    </row>
    <row r="14">
      <c r="A14" s="8" t="s">
        <v>307</v>
      </c>
      <c r="B14" s="8" t="s">
        <v>308</v>
      </c>
      <c r="C14" s="8" t="s">
        <v>309</v>
      </c>
      <c r="D14" s="8" t="s">
        <v>203</v>
      </c>
      <c r="E14" s="21">
        <v>36714.0</v>
      </c>
      <c r="F14" s="8">
        <f t="shared" si="1"/>
        <v>26</v>
      </c>
      <c r="G14" s="26">
        <v>13.765</v>
      </c>
      <c r="H14" s="26">
        <v>100.538</v>
      </c>
      <c r="I14" s="8" t="s">
        <v>300</v>
      </c>
      <c r="J14" s="8" t="s">
        <v>229</v>
      </c>
      <c r="K14" s="8">
        <v>24.0</v>
      </c>
      <c r="L14" s="8">
        <v>35.0</v>
      </c>
      <c r="M14" s="8">
        <v>25.0</v>
      </c>
      <c r="N14" s="30">
        <f t="shared" si="2"/>
        <v>2.1</v>
      </c>
      <c r="O14" s="8" t="str">
        <f t="shared" si="3"/>
        <v>No</v>
      </c>
      <c r="P14" s="8" t="s">
        <v>310</v>
      </c>
    </row>
    <row r="15">
      <c r="A15" s="8" t="s">
        <v>311</v>
      </c>
      <c r="B15" s="8" t="s">
        <v>312</v>
      </c>
      <c r="C15" s="8" t="s">
        <v>313</v>
      </c>
      <c r="D15" s="8" t="s">
        <v>229</v>
      </c>
      <c r="E15" s="21">
        <v>35177.0</v>
      </c>
      <c r="F15" s="8">
        <f t="shared" si="1"/>
        <v>30</v>
      </c>
      <c r="G15" s="26">
        <v>13.5991</v>
      </c>
      <c r="H15" s="26">
        <v>100.5998</v>
      </c>
      <c r="I15" s="8" t="s">
        <v>314</v>
      </c>
      <c r="J15" s="8" t="s">
        <v>203</v>
      </c>
      <c r="K15" s="8">
        <v>20.0</v>
      </c>
      <c r="L15" s="8">
        <v>26.0</v>
      </c>
      <c r="M15" s="8">
        <v>40.0</v>
      </c>
      <c r="N15" s="30">
        <f t="shared" si="2"/>
        <v>17.7</v>
      </c>
      <c r="O15" s="8" t="str">
        <f t="shared" si="3"/>
        <v>No</v>
      </c>
      <c r="P15" s="8" t="s">
        <v>315</v>
      </c>
    </row>
    <row r="16">
      <c r="A16" s="8" t="s">
        <v>60</v>
      </c>
      <c r="B16" s="8" t="s">
        <v>316</v>
      </c>
      <c r="C16" s="8" t="s">
        <v>317</v>
      </c>
      <c r="D16" s="8" t="s">
        <v>203</v>
      </c>
      <c r="E16" s="21">
        <v>34941.0</v>
      </c>
      <c r="F16" s="8">
        <f t="shared" si="1"/>
        <v>31</v>
      </c>
      <c r="G16" s="26">
        <v>13.74</v>
      </c>
      <c r="H16" s="26">
        <v>100.56</v>
      </c>
      <c r="I16" s="8" t="s">
        <v>300</v>
      </c>
      <c r="J16" s="8" t="s">
        <v>229</v>
      </c>
      <c r="K16" s="8">
        <v>25.0</v>
      </c>
      <c r="L16" s="8">
        <v>40.0</v>
      </c>
      <c r="M16" s="8">
        <v>30.0</v>
      </c>
      <c r="N16" s="30">
        <f t="shared" si="2"/>
        <v>2.4</v>
      </c>
      <c r="O16" s="8" t="str">
        <f t="shared" si="3"/>
        <v>No</v>
      </c>
      <c r="P16" s="8" t="s">
        <v>318</v>
      </c>
    </row>
    <row r="17">
      <c r="A17" s="8" t="s">
        <v>319</v>
      </c>
      <c r="B17" s="8" t="s">
        <v>320</v>
      </c>
      <c r="C17" s="8" t="s">
        <v>321</v>
      </c>
      <c r="D17" s="8" t="s">
        <v>229</v>
      </c>
      <c r="E17" s="21">
        <v>18415.0</v>
      </c>
      <c r="F17" s="8">
        <f t="shared" si="1"/>
        <v>76</v>
      </c>
      <c r="G17" s="26">
        <v>14.3532</v>
      </c>
      <c r="H17" s="26">
        <v>100.5689</v>
      </c>
      <c r="I17" s="8" t="s">
        <v>322</v>
      </c>
      <c r="J17" s="8" t="s">
        <v>203</v>
      </c>
      <c r="K17" s="8">
        <v>70.0</v>
      </c>
      <c r="L17" s="8">
        <v>80.0</v>
      </c>
      <c r="M17" s="8">
        <v>5.0</v>
      </c>
      <c r="N17" s="30">
        <f t="shared" si="2"/>
        <v>67.5</v>
      </c>
      <c r="O17" s="8" t="str">
        <f t="shared" si="3"/>
        <v>No</v>
      </c>
      <c r="P17" s="8" t="s">
        <v>323</v>
      </c>
    </row>
    <row r="18">
      <c r="A18" s="3" t="s">
        <v>324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8:P18"/>
  </mergeCell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0"/>
    <col customWidth="1" min="2" max="3" width="10.0"/>
    <col customWidth="1" min="4" max="4" width="60.0"/>
    <col customWidth="1" min="5" max="5" width="16.0"/>
    <col customWidth="1" min="6" max="6" width="10.0"/>
  </cols>
  <sheetData>
    <row r="1">
      <c r="A1" s="2" t="s">
        <v>1</v>
      </c>
    </row>
    <row r="2">
      <c r="A2" s="3" t="s">
        <v>5</v>
      </c>
    </row>
    <row r="4">
      <c r="A4" s="4" t="s">
        <v>8</v>
      </c>
    </row>
    <row r="5">
      <c r="A5" s="6" t="s">
        <v>10</v>
      </c>
      <c r="B5" s="6" t="s">
        <v>13</v>
      </c>
      <c r="C5" s="6" t="s">
        <v>15</v>
      </c>
      <c r="D5" s="6" t="s">
        <v>16</v>
      </c>
      <c r="E5" s="6" t="s">
        <v>17</v>
      </c>
      <c r="F5" s="6" t="s">
        <v>18</v>
      </c>
    </row>
    <row r="6">
      <c r="A6" s="8" t="s">
        <v>19</v>
      </c>
      <c r="B6" s="8" t="s">
        <v>20</v>
      </c>
      <c r="C6" s="8" t="s">
        <v>21</v>
      </c>
      <c r="D6" s="8" t="s">
        <v>22</v>
      </c>
      <c r="E6" s="8" t="s">
        <v>23</v>
      </c>
      <c r="F6" s="8" t="s">
        <v>24</v>
      </c>
    </row>
    <row r="7">
      <c r="A7" s="8" t="s">
        <v>27</v>
      </c>
      <c r="B7" s="8" t="s">
        <v>30</v>
      </c>
      <c r="C7" s="8" t="s">
        <v>21</v>
      </c>
      <c r="D7" s="8" t="s">
        <v>31</v>
      </c>
      <c r="E7" s="8" t="s">
        <v>32</v>
      </c>
      <c r="F7" s="8" t="s">
        <v>33</v>
      </c>
    </row>
    <row r="8">
      <c r="A8" s="8" t="s">
        <v>34</v>
      </c>
      <c r="B8" s="8" t="s">
        <v>30</v>
      </c>
      <c r="C8" s="8" t="s">
        <v>21</v>
      </c>
      <c r="D8" s="8" t="s">
        <v>37</v>
      </c>
      <c r="E8" s="8" t="s">
        <v>38</v>
      </c>
      <c r="F8" s="8" t="s">
        <v>33</v>
      </c>
    </row>
    <row r="9">
      <c r="A9" s="8" t="s">
        <v>42</v>
      </c>
      <c r="B9" s="8" t="s">
        <v>30</v>
      </c>
      <c r="C9" s="8" t="s">
        <v>21</v>
      </c>
      <c r="D9" s="8" t="s">
        <v>44</v>
      </c>
      <c r="E9" s="8" t="s">
        <v>47</v>
      </c>
      <c r="F9" s="8" t="s">
        <v>33</v>
      </c>
    </row>
    <row r="10">
      <c r="A10" s="8" t="s">
        <v>50</v>
      </c>
      <c r="B10" s="8" t="s">
        <v>30</v>
      </c>
      <c r="C10" s="8" t="s">
        <v>20</v>
      </c>
      <c r="D10" s="8" t="s">
        <v>53</v>
      </c>
      <c r="E10" s="8" t="s">
        <v>54</v>
      </c>
      <c r="F10" s="8" t="s">
        <v>24</v>
      </c>
    </row>
    <row r="11">
      <c r="A11" s="8" t="s">
        <v>57</v>
      </c>
      <c r="B11" s="8" t="s">
        <v>21</v>
      </c>
      <c r="C11" s="8" t="s">
        <v>60</v>
      </c>
      <c r="D11" s="8" t="s">
        <v>62</v>
      </c>
      <c r="E11" s="8" t="s">
        <v>63</v>
      </c>
      <c r="F11" s="8" t="s">
        <v>24</v>
      </c>
    </row>
    <row r="13">
      <c r="A13" s="4" t="s">
        <v>67</v>
      </c>
    </row>
    <row r="14">
      <c r="A14" s="6" t="s">
        <v>70</v>
      </c>
      <c r="B14" s="6" t="s">
        <v>71</v>
      </c>
      <c r="C14" s="6" t="s">
        <v>73</v>
      </c>
      <c r="D14" s="6" t="s">
        <v>74</v>
      </c>
    </row>
    <row r="15">
      <c r="A15" s="8" t="s">
        <v>21</v>
      </c>
      <c r="B15" s="8" t="s">
        <v>75</v>
      </c>
      <c r="C15" s="8" t="s">
        <v>20</v>
      </c>
      <c r="D15" s="8"/>
    </row>
    <row r="16">
      <c r="A16" s="8" t="s">
        <v>21</v>
      </c>
      <c r="B16" s="8" t="s">
        <v>78</v>
      </c>
      <c r="C16" s="8" t="s">
        <v>20</v>
      </c>
      <c r="D16" s="8" t="s">
        <v>79</v>
      </c>
    </row>
    <row r="18">
      <c r="A18" s="4" t="s">
        <v>80</v>
      </c>
    </row>
    <row r="19" ht="42.0" customHeight="1">
      <c r="A19" s="6" t="s">
        <v>82</v>
      </c>
      <c r="B19" s="15" t="s">
        <v>83</v>
      </c>
      <c r="C19" s="16"/>
      <c r="D19" s="6" t="s">
        <v>89</v>
      </c>
    </row>
    <row r="20" ht="42.0" customHeight="1">
      <c r="A20" s="8" t="s">
        <v>91</v>
      </c>
      <c r="B20" s="7" t="s">
        <v>93</v>
      </c>
      <c r="C20" s="16"/>
      <c r="D20" s="8" t="s">
        <v>96</v>
      </c>
    </row>
    <row r="21" ht="42.0" customHeight="1">
      <c r="A21" s="8" t="s">
        <v>98</v>
      </c>
      <c r="B21" s="7" t="s">
        <v>100</v>
      </c>
      <c r="C21" s="16"/>
      <c r="D21" s="8" t="s">
        <v>104</v>
      </c>
    </row>
    <row r="22" ht="42.0" customHeight="1">
      <c r="A22" s="8" t="s">
        <v>107</v>
      </c>
      <c r="B22" s="20" t="s">
        <v>109</v>
      </c>
      <c r="C22" s="16"/>
      <c r="D22" s="22" t="s">
        <v>113</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9:C19"/>
    <mergeCell ref="B20:C20"/>
    <mergeCell ref="B21:C21"/>
    <mergeCell ref="B22:C22"/>
  </mergeCell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2.0"/>
    <col customWidth="1" min="2" max="2" width="30.0"/>
    <col customWidth="1" min="3" max="3" width="50.0"/>
    <col customWidth="1" min="4" max="4" width="56.0"/>
    <col customWidth="1" min="5" max="5" width="18.0"/>
    <col customWidth="1" min="6" max="6" width="72.0"/>
    <col customWidth="1" min="7" max="7" width="14.0"/>
  </cols>
  <sheetData>
    <row r="1">
      <c r="A1" s="2" t="s">
        <v>2</v>
      </c>
    </row>
    <row r="3" ht="18.0" customHeight="1">
      <c r="A3" s="5" t="s">
        <v>7</v>
      </c>
      <c r="B3" s="7" t="s">
        <v>12</v>
      </c>
      <c r="C3" s="9"/>
      <c r="D3" s="9"/>
    </row>
    <row r="4" ht="18.0" customHeight="1">
      <c r="A4" s="5" t="s">
        <v>26</v>
      </c>
      <c r="B4" s="7" t="s">
        <v>28</v>
      </c>
      <c r="C4" s="9"/>
      <c r="D4" s="9"/>
    </row>
    <row r="6">
      <c r="A6" s="6" t="s">
        <v>35</v>
      </c>
      <c r="B6" s="6" t="s">
        <v>39</v>
      </c>
      <c r="C6" s="6" t="s">
        <v>41</v>
      </c>
      <c r="D6" s="6" t="s">
        <v>43</v>
      </c>
      <c r="E6" s="10" t="s">
        <v>46</v>
      </c>
      <c r="F6" s="10" t="s">
        <v>49</v>
      </c>
      <c r="G6" s="10" t="s">
        <v>51</v>
      </c>
    </row>
    <row r="7" ht="94.5" customHeight="1">
      <c r="A7" s="12" t="s">
        <v>55</v>
      </c>
      <c r="B7" s="8" t="s">
        <v>64</v>
      </c>
      <c r="C7" s="8" t="s">
        <v>69</v>
      </c>
      <c r="D7" s="8" t="s">
        <v>72</v>
      </c>
      <c r="E7" s="13" t="s">
        <v>81</v>
      </c>
      <c r="F7" s="14" t="s">
        <v>86</v>
      </c>
      <c r="G7" s="14" t="s">
        <v>87</v>
      </c>
    </row>
    <row r="8" ht="40.5" customHeight="1">
      <c r="A8" s="17"/>
      <c r="B8" s="8" t="s">
        <v>90</v>
      </c>
      <c r="C8" s="8" t="s">
        <v>92</v>
      </c>
      <c r="D8" s="8" t="s">
        <v>94</v>
      </c>
      <c r="E8" s="13" t="s">
        <v>81</v>
      </c>
      <c r="F8" s="14" t="s">
        <v>97</v>
      </c>
      <c r="G8" s="14" t="s">
        <v>87</v>
      </c>
    </row>
    <row r="9" ht="40.5" customHeight="1">
      <c r="A9" s="18"/>
      <c r="B9" s="8" t="s">
        <v>101</v>
      </c>
      <c r="C9" s="8" t="s">
        <v>102</v>
      </c>
      <c r="D9" s="8" t="s">
        <v>105</v>
      </c>
      <c r="E9" s="19" t="s">
        <v>108</v>
      </c>
      <c r="F9" s="14" t="s">
        <v>110</v>
      </c>
      <c r="G9" s="14" t="s">
        <v>87</v>
      </c>
    </row>
    <row r="10" ht="54.0" customHeight="1">
      <c r="A10" s="12" t="s">
        <v>112</v>
      </c>
      <c r="B10" s="8" t="s">
        <v>115</v>
      </c>
      <c r="C10" s="8" t="s">
        <v>117</v>
      </c>
      <c r="D10" s="8" t="s">
        <v>118</v>
      </c>
      <c r="E10" s="13" t="s">
        <v>81</v>
      </c>
      <c r="F10" s="14" t="s">
        <v>119</v>
      </c>
      <c r="G10" s="14" t="s">
        <v>87</v>
      </c>
    </row>
    <row r="11" ht="27.0" customHeight="1">
      <c r="A11" s="17"/>
      <c r="B11" s="8" t="s">
        <v>121</v>
      </c>
      <c r="C11" s="8" t="s">
        <v>123</v>
      </c>
      <c r="D11" s="8" t="s">
        <v>124</v>
      </c>
      <c r="E11" s="19" t="s">
        <v>108</v>
      </c>
      <c r="F11" s="14" t="s">
        <v>127</v>
      </c>
      <c r="G11" s="14" t="s">
        <v>87</v>
      </c>
    </row>
    <row r="12" ht="40.5" customHeight="1">
      <c r="A12" s="17"/>
      <c r="B12" s="8" t="s">
        <v>129</v>
      </c>
      <c r="C12" s="8" t="s">
        <v>131</v>
      </c>
      <c r="D12" s="8" t="s">
        <v>124</v>
      </c>
      <c r="E12" s="19" t="s">
        <v>108</v>
      </c>
      <c r="F12" s="14" t="s">
        <v>127</v>
      </c>
      <c r="G12" s="14" t="s">
        <v>87</v>
      </c>
    </row>
    <row r="13" ht="54.0" customHeight="1">
      <c r="A13" s="17"/>
      <c r="B13" s="8" t="s">
        <v>138</v>
      </c>
      <c r="C13" s="8" t="s">
        <v>140</v>
      </c>
      <c r="D13" s="8" t="s">
        <v>142</v>
      </c>
      <c r="E13" s="13" t="s">
        <v>81</v>
      </c>
      <c r="F13" s="14" t="s">
        <v>146</v>
      </c>
      <c r="G13" s="14" t="s">
        <v>87</v>
      </c>
    </row>
    <row r="14" ht="40.5" customHeight="1">
      <c r="A14" s="17"/>
      <c r="B14" s="8" t="s">
        <v>149</v>
      </c>
      <c r="C14" s="8" t="s">
        <v>152</v>
      </c>
      <c r="D14" s="8" t="s">
        <v>154</v>
      </c>
      <c r="E14" s="19" t="s">
        <v>108</v>
      </c>
      <c r="F14" s="14" t="s">
        <v>157</v>
      </c>
      <c r="G14" s="14" t="s">
        <v>87</v>
      </c>
    </row>
    <row r="15" ht="40.5" customHeight="1">
      <c r="A15" s="18"/>
      <c r="B15" s="8" t="s">
        <v>163</v>
      </c>
      <c r="C15" s="8" t="s">
        <v>165</v>
      </c>
      <c r="D15" s="8" t="s">
        <v>167</v>
      </c>
      <c r="E15" s="19" t="s">
        <v>108</v>
      </c>
      <c r="F15" s="14" t="s">
        <v>172</v>
      </c>
      <c r="G15" s="14" t="s">
        <v>87</v>
      </c>
    </row>
    <row r="16" ht="27.0" customHeight="1">
      <c r="A16" s="12" t="s">
        <v>175</v>
      </c>
      <c r="B16" s="8" t="s">
        <v>181</v>
      </c>
      <c r="C16" s="8" t="s">
        <v>184</v>
      </c>
      <c r="D16" s="8" t="s">
        <v>186</v>
      </c>
      <c r="E16" s="19" t="s">
        <v>108</v>
      </c>
      <c r="F16" s="14" t="s">
        <v>189</v>
      </c>
      <c r="G16" s="14" t="s">
        <v>87</v>
      </c>
    </row>
    <row r="17" ht="54.0" customHeight="1">
      <c r="A17" s="17"/>
      <c r="B17" s="8" t="s">
        <v>194</v>
      </c>
      <c r="C17" s="8" t="s">
        <v>196</v>
      </c>
      <c r="D17" s="8" t="s">
        <v>197</v>
      </c>
      <c r="E17" s="24" t="s">
        <v>201</v>
      </c>
      <c r="F17" s="14" t="s">
        <v>206</v>
      </c>
      <c r="G17" s="14" t="s">
        <v>87</v>
      </c>
    </row>
    <row r="18" ht="40.5" customHeight="1">
      <c r="A18" s="18"/>
      <c r="B18" s="8" t="s">
        <v>209</v>
      </c>
      <c r="C18" s="8" t="s">
        <v>210</v>
      </c>
      <c r="D18" s="8" t="s">
        <v>212</v>
      </c>
      <c r="E18" s="19" t="s">
        <v>108</v>
      </c>
      <c r="F18" s="14" t="s">
        <v>215</v>
      </c>
      <c r="G18" s="14" t="s">
        <v>87</v>
      </c>
    </row>
    <row r="19" ht="40.5" customHeight="1">
      <c r="A19" s="12" t="s">
        <v>218</v>
      </c>
      <c r="B19" s="8" t="s">
        <v>221</v>
      </c>
      <c r="C19" s="8" t="s">
        <v>222</v>
      </c>
      <c r="D19" s="8" t="s">
        <v>224</v>
      </c>
      <c r="E19" s="13" t="s">
        <v>81</v>
      </c>
      <c r="F19" s="14" t="s">
        <v>225</v>
      </c>
      <c r="G19" s="14" t="s">
        <v>87</v>
      </c>
    </row>
    <row r="20" ht="40.5" customHeight="1">
      <c r="A20" s="17"/>
      <c r="B20" s="8" t="s">
        <v>228</v>
      </c>
      <c r="C20" s="8" t="s">
        <v>231</v>
      </c>
      <c r="D20" s="8" t="s">
        <v>232</v>
      </c>
      <c r="E20" s="19" t="s">
        <v>108</v>
      </c>
      <c r="F20" s="14" t="s">
        <v>233</v>
      </c>
      <c r="G20" s="14" t="s">
        <v>87</v>
      </c>
    </row>
    <row r="21" ht="40.5" customHeight="1">
      <c r="A21" s="17"/>
      <c r="B21" s="8" t="s">
        <v>236</v>
      </c>
      <c r="C21" s="8" t="s">
        <v>237</v>
      </c>
      <c r="D21" s="8" t="s">
        <v>238</v>
      </c>
      <c r="E21" s="19" t="s">
        <v>108</v>
      </c>
      <c r="F21" s="14" t="s">
        <v>241</v>
      </c>
      <c r="G21" s="14" t="s">
        <v>87</v>
      </c>
    </row>
    <row r="22" ht="27.0" customHeight="1">
      <c r="A22" s="17"/>
      <c r="B22" s="8" t="s">
        <v>243</v>
      </c>
      <c r="C22" s="8" t="s">
        <v>245</v>
      </c>
      <c r="D22" s="8" t="s">
        <v>247</v>
      </c>
      <c r="E22" s="13" t="s">
        <v>81</v>
      </c>
      <c r="F22" s="14" t="s">
        <v>250</v>
      </c>
      <c r="G22" s="14" t="s">
        <v>87</v>
      </c>
    </row>
    <row r="23" ht="67.5" customHeight="1">
      <c r="A23" s="17"/>
      <c r="B23" s="8" t="s">
        <v>253</v>
      </c>
      <c r="C23" s="8" t="s">
        <v>254</v>
      </c>
      <c r="D23" s="8" t="s">
        <v>255</v>
      </c>
      <c r="E23" s="27" t="s">
        <v>256</v>
      </c>
      <c r="F23" s="28" t="s">
        <v>257</v>
      </c>
      <c r="G23" s="14" t="s">
        <v>87</v>
      </c>
    </row>
    <row r="24" ht="40.5" customHeight="1">
      <c r="A24" s="18"/>
      <c r="B24" s="8" t="s">
        <v>258</v>
      </c>
      <c r="C24" s="8" t="s">
        <v>259</v>
      </c>
      <c r="D24" s="8" t="s">
        <v>260</v>
      </c>
      <c r="E24" s="19" t="s">
        <v>108</v>
      </c>
      <c r="F24" s="14" t="s">
        <v>261</v>
      </c>
      <c r="G24" s="14" t="s">
        <v>87</v>
      </c>
    </row>
    <row r="25" ht="40.5" customHeight="1">
      <c r="A25" s="29" t="s">
        <v>262</v>
      </c>
      <c r="B25" s="8" t="s">
        <v>263</v>
      </c>
      <c r="C25" s="8" t="s">
        <v>264</v>
      </c>
      <c r="D25" s="8" t="s">
        <v>265</v>
      </c>
      <c r="E25" s="19" t="s">
        <v>108</v>
      </c>
      <c r="F25" s="14" t="s">
        <v>266</v>
      </c>
      <c r="G25" s="14" t="s">
        <v>87</v>
      </c>
    </row>
    <row r="26" ht="94.5" customHeight="1">
      <c r="A26" s="17"/>
      <c r="B26" s="8" t="s">
        <v>267</v>
      </c>
      <c r="C26" s="8" t="s">
        <v>268</v>
      </c>
      <c r="D26" s="8" t="s">
        <v>269</v>
      </c>
      <c r="E26" s="27" t="s">
        <v>256</v>
      </c>
      <c r="F26" s="28" t="s">
        <v>270</v>
      </c>
      <c r="G26" s="14" t="s">
        <v>87</v>
      </c>
    </row>
    <row r="27" ht="54.0" customHeight="1">
      <c r="A27" s="17"/>
      <c r="B27" s="8" t="s">
        <v>271</v>
      </c>
      <c r="C27" s="8" t="s">
        <v>272</v>
      </c>
      <c r="D27" s="8" t="s">
        <v>273</v>
      </c>
      <c r="E27" s="27" t="s">
        <v>256</v>
      </c>
      <c r="F27" s="28" t="s">
        <v>274</v>
      </c>
      <c r="G27" s="14" t="s">
        <v>87</v>
      </c>
    </row>
    <row r="28" ht="40.5" customHeight="1">
      <c r="A28" s="18"/>
      <c r="B28" s="8" t="s">
        <v>275</v>
      </c>
      <c r="C28" s="8" t="s">
        <v>276</v>
      </c>
      <c r="D28" s="8" t="s">
        <v>277</v>
      </c>
      <c r="E28" s="13" t="s">
        <v>81</v>
      </c>
      <c r="F28" s="14" t="s">
        <v>278</v>
      </c>
      <c r="G28" s="14" t="s">
        <v>87</v>
      </c>
    </row>
    <row r="29" ht="40.5" customHeight="1">
      <c r="A29" s="29" t="s">
        <v>279</v>
      </c>
      <c r="B29" s="8" t="s">
        <v>280</v>
      </c>
      <c r="C29" s="8" t="s">
        <v>281</v>
      </c>
      <c r="D29" s="22" t="s">
        <v>282</v>
      </c>
      <c r="E29" s="13" t="s">
        <v>81</v>
      </c>
      <c r="F29" s="14" t="s">
        <v>283</v>
      </c>
      <c r="G29" s="14" t="s">
        <v>87</v>
      </c>
    </row>
    <row r="30" ht="40.5" customHeight="1">
      <c r="A30" s="18"/>
      <c r="B30" s="8" t="s">
        <v>284</v>
      </c>
      <c r="C30" s="8" t="s">
        <v>285</v>
      </c>
      <c r="D30" s="8" t="s">
        <v>286</v>
      </c>
      <c r="E30" s="24" t="s">
        <v>201</v>
      </c>
      <c r="F30" s="14" t="s">
        <v>287</v>
      </c>
      <c r="G30" s="14" t="s">
        <v>87</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3:D3"/>
    <mergeCell ref="B4:D4"/>
    <mergeCell ref="A7:A9"/>
    <mergeCell ref="A10:A15"/>
    <mergeCell ref="A16:A18"/>
    <mergeCell ref="A19:A24"/>
    <mergeCell ref="A25:A28"/>
    <mergeCell ref="A29:A30"/>
  </mergeCells>
  <dataValidations>
    <dataValidation type="list" allowBlank="1" sqref="E7:E30">
      <formula1>"Pass,Fail,Partial,Not Run,Removed"</formula1>
    </dataValidation>
  </dataValidations>
  <printOptions/>
  <pageMargins bottom="1.0" footer="0.0" header="0.0" left="0.75" right="0.75" top="1.0"/>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2.0"/>
    <col customWidth="1" min="2" max="2" width="30.0"/>
    <col customWidth="1" min="3" max="3" width="50.0"/>
    <col customWidth="1" min="4" max="4" width="56.0"/>
    <col customWidth="1" min="5" max="5" width="18.0"/>
    <col customWidth="1" min="6" max="6" width="72.0"/>
    <col customWidth="1" min="7" max="7" width="14.0"/>
  </cols>
  <sheetData>
    <row r="1">
      <c r="A1" s="2" t="s">
        <v>325</v>
      </c>
    </row>
    <row r="3" ht="18.0" customHeight="1">
      <c r="A3" s="5" t="s">
        <v>7</v>
      </c>
      <c r="B3" s="7" t="s">
        <v>326</v>
      </c>
      <c r="C3" s="9"/>
      <c r="D3" s="9"/>
    </row>
    <row r="4" ht="18.0" customHeight="1">
      <c r="A4" s="5" t="s">
        <v>26</v>
      </c>
      <c r="B4" s="7" t="s">
        <v>327</v>
      </c>
      <c r="C4" s="9"/>
      <c r="D4" s="9"/>
    </row>
    <row r="6">
      <c r="A6" s="6" t="s">
        <v>35</v>
      </c>
      <c r="B6" s="6" t="s">
        <v>39</v>
      </c>
      <c r="C6" s="6" t="s">
        <v>41</v>
      </c>
      <c r="D6" s="6" t="s">
        <v>43</v>
      </c>
      <c r="E6" s="10" t="s">
        <v>46</v>
      </c>
      <c r="F6" s="10" t="s">
        <v>49</v>
      </c>
      <c r="G6" s="10" t="s">
        <v>51</v>
      </c>
    </row>
    <row r="7" ht="40.5" customHeight="1">
      <c r="A7" s="12" t="s">
        <v>328</v>
      </c>
      <c r="B7" s="8" t="s">
        <v>329</v>
      </c>
      <c r="C7" s="8" t="s">
        <v>330</v>
      </c>
      <c r="D7" s="8" t="s">
        <v>331</v>
      </c>
      <c r="E7" s="13" t="s">
        <v>81</v>
      </c>
      <c r="F7" s="14" t="s">
        <v>333</v>
      </c>
      <c r="G7" s="14" t="s">
        <v>87</v>
      </c>
    </row>
    <row r="8" ht="40.5" customHeight="1">
      <c r="A8" s="17"/>
      <c r="B8" s="8" t="s">
        <v>334</v>
      </c>
      <c r="C8" s="8" t="s">
        <v>335</v>
      </c>
      <c r="D8" s="8" t="s">
        <v>336</v>
      </c>
      <c r="E8" s="13" t="s">
        <v>81</v>
      </c>
      <c r="F8" s="14" t="s">
        <v>338</v>
      </c>
      <c r="G8" s="14" t="s">
        <v>87</v>
      </c>
    </row>
    <row r="9" ht="40.5" customHeight="1">
      <c r="A9" s="17"/>
      <c r="B9" s="8" t="s">
        <v>340</v>
      </c>
      <c r="C9" s="8" t="s">
        <v>341</v>
      </c>
      <c r="D9" s="8" t="s">
        <v>342</v>
      </c>
      <c r="E9" s="19" t="s">
        <v>108</v>
      </c>
      <c r="F9" s="14" t="s">
        <v>343</v>
      </c>
      <c r="G9" s="14" t="s">
        <v>87</v>
      </c>
    </row>
    <row r="10" ht="40.5" customHeight="1">
      <c r="A10" s="18"/>
      <c r="B10" s="8" t="s">
        <v>344</v>
      </c>
      <c r="C10" s="8" t="s">
        <v>345</v>
      </c>
      <c r="D10" s="8" t="s">
        <v>346</v>
      </c>
      <c r="E10" s="13" t="s">
        <v>81</v>
      </c>
      <c r="F10" s="14" t="s">
        <v>347</v>
      </c>
      <c r="G10" s="14" t="s">
        <v>87</v>
      </c>
    </row>
    <row r="11" ht="40.5" customHeight="1">
      <c r="A11" s="12" t="s">
        <v>348</v>
      </c>
      <c r="B11" s="8" t="s">
        <v>350</v>
      </c>
      <c r="C11" s="8" t="s">
        <v>351</v>
      </c>
      <c r="D11" s="8" t="s">
        <v>352</v>
      </c>
      <c r="E11" s="19" t="s">
        <v>108</v>
      </c>
      <c r="F11" s="14" t="s">
        <v>353</v>
      </c>
      <c r="G11" s="14" t="s">
        <v>87</v>
      </c>
    </row>
    <row r="12" ht="67.5" customHeight="1">
      <c r="A12" s="17"/>
      <c r="B12" s="8" t="s">
        <v>356</v>
      </c>
      <c r="C12" s="8" t="s">
        <v>358</v>
      </c>
      <c r="D12" s="8" t="s">
        <v>359</v>
      </c>
      <c r="E12" s="19" t="s">
        <v>108</v>
      </c>
      <c r="F12" s="14" t="s">
        <v>360</v>
      </c>
      <c r="G12" s="14" t="s">
        <v>87</v>
      </c>
    </row>
    <row r="13" ht="27.0" customHeight="1">
      <c r="A13" s="18"/>
      <c r="B13" s="8" t="s">
        <v>361</v>
      </c>
      <c r="C13" s="8" t="s">
        <v>363</v>
      </c>
      <c r="D13" s="8" t="s">
        <v>364</v>
      </c>
      <c r="E13" s="13" t="s">
        <v>81</v>
      </c>
      <c r="F13" s="14" t="s">
        <v>366</v>
      </c>
      <c r="G13" s="14" t="s">
        <v>87</v>
      </c>
    </row>
    <row r="14" ht="54.0" customHeight="1">
      <c r="A14" s="12" t="s">
        <v>369</v>
      </c>
      <c r="B14" s="8" t="s">
        <v>371</v>
      </c>
      <c r="C14" s="8" t="s">
        <v>372</v>
      </c>
      <c r="D14" s="8" t="s">
        <v>374</v>
      </c>
      <c r="E14" s="13" t="s">
        <v>81</v>
      </c>
      <c r="F14" s="14" t="s">
        <v>376</v>
      </c>
      <c r="G14" s="14" t="s">
        <v>87</v>
      </c>
    </row>
    <row r="15" ht="40.5" customHeight="1">
      <c r="A15" s="17"/>
      <c r="B15" s="8" t="s">
        <v>381</v>
      </c>
      <c r="C15" s="8" t="s">
        <v>382</v>
      </c>
      <c r="D15" s="8" t="s">
        <v>383</v>
      </c>
      <c r="E15" s="13" t="s">
        <v>81</v>
      </c>
      <c r="F15" s="14" t="s">
        <v>386</v>
      </c>
      <c r="G15" s="14" t="s">
        <v>87</v>
      </c>
    </row>
    <row r="16" ht="40.5" customHeight="1">
      <c r="A16" s="17"/>
      <c r="B16" s="8" t="s">
        <v>387</v>
      </c>
      <c r="C16" s="8" t="s">
        <v>388</v>
      </c>
      <c r="D16" s="8" t="s">
        <v>390</v>
      </c>
      <c r="E16" s="19" t="s">
        <v>108</v>
      </c>
      <c r="F16" s="14" t="s">
        <v>393</v>
      </c>
      <c r="G16" s="14" t="s">
        <v>87</v>
      </c>
    </row>
    <row r="17" ht="40.5" customHeight="1">
      <c r="A17" s="18"/>
      <c r="B17" s="8" t="s">
        <v>397</v>
      </c>
      <c r="C17" s="8" t="s">
        <v>398</v>
      </c>
      <c r="D17" s="8" t="s">
        <v>400</v>
      </c>
      <c r="E17" s="19" t="s">
        <v>108</v>
      </c>
      <c r="F17" s="14" t="s">
        <v>402</v>
      </c>
      <c r="G17" s="14" t="s">
        <v>87</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3:D3"/>
    <mergeCell ref="B4:D4"/>
    <mergeCell ref="A7:A10"/>
    <mergeCell ref="A11:A13"/>
    <mergeCell ref="A14:A17"/>
  </mergeCells>
  <dataValidations>
    <dataValidation type="list" allowBlank="1" sqref="E7:E17">
      <formula1>"Pass,Fail,Partial,Not Run"</formula1>
    </dataValidation>
  </dataValidation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2.0"/>
    <col customWidth="1" min="2" max="2" width="30.0"/>
    <col customWidth="1" min="3" max="3" width="50.0"/>
    <col customWidth="1" min="4" max="4" width="56.0"/>
    <col customWidth="1" min="5" max="5" width="18.0"/>
    <col customWidth="1" min="6" max="6" width="72.0"/>
    <col customWidth="1" min="7" max="7" width="14.0"/>
  </cols>
  <sheetData>
    <row r="1">
      <c r="A1" s="2" t="s">
        <v>332</v>
      </c>
    </row>
    <row r="3" ht="18.0" customHeight="1">
      <c r="A3" s="5" t="s">
        <v>7</v>
      </c>
      <c r="B3" s="7" t="s">
        <v>337</v>
      </c>
      <c r="C3" s="9"/>
      <c r="D3" s="9"/>
    </row>
    <row r="4" ht="18.0" customHeight="1">
      <c r="A4" s="5" t="s">
        <v>26</v>
      </c>
      <c r="B4" s="7" t="s">
        <v>339</v>
      </c>
      <c r="C4" s="9"/>
      <c r="D4" s="9"/>
    </row>
    <row r="6">
      <c r="A6" s="6" t="s">
        <v>35</v>
      </c>
      <c r="B6" s="6" t="s">
        <v>39</v>
      </c>
      <c r="C6" s="6" t="s">
        <v>41</v>
      </c>
      <c r="D6" s="6" t="s">
        <v>43</v>
      </c>
      <c r="E6" s="10" t="s">
        <v>46</v>
      </c>
      <c r="F6" s="10" t="s">
        <v>49</v>
      </c>
      <c r="G6" s="10" t="s">
        <v>51</v>
      </c>
    </row>
    <row r="7" ht="67.5" customHeight="1">
      <c r="A7" s="12" t="s">
        <v>349</v>
      </c>
      <c r="B7" s="8" t="s">
        <v>354</v>
      </c>
      <c r="C7" s="8" t="s">
        <v>355</v>
      </c>
      <c r="D7" s="8" t="s">
        <v>357</v>
      </c>
      <c r="E7" s="19" t="s">
        <v>108</v>
      </c>
      <c r="F7" s="14" t="s">
        <v>362</v>
      </c>
      <c r="G7" s="14" t="s">
        <v>87</v>
      </c>
    </row>
    <row r="8" ht="40.5" customHeight="1">
      <c r="A8" s="17"/>
      <c r="B8" s="8" t="s">
        <v>365</v>
      </c>
      <c r="C8" s="8" t="s">
        <v>367</v>
      </c>
      <c r="D8" s="8" t="s">
        <v>368</v>
      </c>
      <c r="E8" s="19" t="s">
        <v>108</v>
      </c>
      <c r="F8" s="14" t="s">
        <v>370</v>
      </c>
      <c r="G8" s="14" t="s">
        <v>87</v>
      </c>
    </row>
    <row r="9" ht="40.5" customHeight="1">
      <c r="A9" s="17"/>
      <c r="B9" s="8" t="s">
        <v>373</v>
      </c>
      <c r="C9" s="8" t="s">
        <v>367</v>
      </c>
      <c r="D9" s="8" t="s">
        <v>375</v>
      </c>
      <c r="E9" s="19" t="s">
        <v>108</v>
      </c>
      <c r="F9" s="14" t="s">
        <v>370</v>
      </c>
      <c r="G9" s="14" t="s">
        <v>87</v>
      </c>
    </row>
    <row r="10" ht="40.5" customHeight="1">
      <c r="A10" s="17"/>
      <c r="B10" s="8" t="s">
        <v>377</v>
      </c>
      <c r="C10" s="8" t="s">
        <v>367</v>
      </c>
      <c r="D10" s="8" t="s">
        <v>378</v>
      </c>
      <c r="E10" s="19" t="s">
        <v>108</v>
      </c>
      <c r="F10" s="14" t="s">
        <v>370</v>
      </c>
      <c r="G10" s="14" t="s">
        <v>87</v>
      </c>
    </row>
    <row r="11" ht="40.5" customHeight="1">
      <c r="A11" s="17"/>
      <c r="B11" s="8" t="s">
        <v>379</v>
      </c>
      <c r="C11" s="8" t="s">
        <v>367</v>
      </c>
      <c r="D11" s="8" t="s">
        <v>380</v>
      </c>
      <c r="E11" s="19" t="s">
        <v>108</v>
      </c>
      <c r="F11" s="14" t="s">
        <v>370</v>
      </c>
      <c r="G11" s="14" t="s">
        <v>87</v>
      </c>
    </row>
    <row r="12" ht="27.0" customHeight="1">
      <c r="A12" s="17"/>
      <c r="B12" s="8" t="s">
        <v>384</v>
      </c>
      <c r="C12" s="8" t="s">
        <v>367</v>
      </c>
      <c r="D12" s="8" t="s">
        <v>385</v>
      </c>
      <c r="E12" s="19" t="s">
        <v>108</v>
      </c>
      <c r="F12" s="14" t="s">
        <v>370</v>
      </c>
      <c r="G12" s="14" t="s">
        <v>87</v>
      </c>
    </row>
    <row r="13" ht="27.0" customHeight="1">
      <c r="A13" s="17"/>
      <c r="B13" s="8" t="s">
        <v>389</v>
      </c>
      <c r="C13" s="8" t="s">
        <v>367</v>
      </c>
      <c r="D13" s="8" t="s">
        <v>391</v>
      </c>
      <c r="E13" s="19" t="s">
        <v>108</v>
      </c>
      <c r="F13" s="14" t="s">
        <v>392</v>
      </c>
      <c r="G13" s="14" t="s">
        <v>87</v>
      </c>
    </row>
    <row r="14" ht="40.5" customHeight="1">
      <c r="A14" s="18"/>
      <c r="B14" s="8" t="s">
        <v>394</v>
      </c>
      <c r="C14" s="8" t="s">
        <v>395</v>
      </c>
      <c r="D14" s="8" t="s">
        <v>396</v>
      </c>
      <c r="E14" s="19" t="s">
        <v>108</v>
      </c>
      <c r="F14" s="14" t="s">
        <v>399</v>
      </c>
      <c r="G14" s="14" t="s">
        <v>87</v>
      </c>
    </row>
    <row r="15" ht="54.0" customHeight="1">
      <c r="A15" s="12" t="s">
        <v>401</v>
      </c>
      <c r="B15" s="22" t="s">
        <v>403</v>
      </c>
      <c r="C15" s="8" t="s">
        <v>404</v>
      </c>
      <c r="D15" s="8" t="s">
        <v>405</v>
      </c>
      <c r="E15" s="19" t="s">
        <v>108</v>
      </c>
      <c r="F15" s="14" t="s">
        <v>406</v>
      </c>
      <c r="G15" s="14" t="s">
        <v>87</v>
      </c>
    </row>
    <row r="16" ht="40.5" customHeight="1">
      <c r="A16" s="18"/>
      <c r="B16" s="22" t="s">
        <v>407</v>
      </c>
      <c r="C16" s="8" t="s">
        <v>408</v>
      </c>
      <c r="D16" s="8" t="s">
        <v>409</v>
      </c>
      <c r="E16" s="13" t="s">
        <v>81</v>
      </c>
      <c r="F16" s="14" t="s">
        <v>410</v>
      </c>
      <c r="G16" s="14" t="s">
        <v>87</v>
      </c>
    </row>
    <row r="17" ht="27.0" customHeight="1">
      <c r="A17" s="12" t="s">
        <v>411</v>
      </c>
      <c r="B17" s="22" t="s">
        <v>412</v>
      </c>
      <c r="C17" s="8" t="s">
        <v>413</v>
      </c>
      <c r="D17" s="8" t="s">
        <v>414</v>
      </c>
      <c r="E17" s="19" t="s">
        <v>108</v>
      </c>
      <c r="F17" s="14" t="s">
        <v>415</v>
      </c>
      <c r="G17" s="14" t="s">
        <v>87</v>
      </c>
    </row>
    <row r="18" ht="40.5" customHeight="1">
      <c r="A18" s="18"/>
      <c r="B18" s="22" t="s">
        <v>416</v>
      </c>
      <c r="C18" s="8" t="s">
        <v>417</v>
      </c>
      <c r="D18" s="8" t="s">
        <v>418</v>
      </c>
      <c r="E18" s="13" t="s">
        <v>81</v>
      </c>
      <c r="F18" s="14" t="s">
        <v>419</v>
      </c>
      <c r="G18" s="14" t="s">
        <v>87</v>
      </c>
    </row>
    <row r="19" ht="40.5" customHeight="1">
      <c r="A19" s="12" t="s">
        <v>420</v>
      </c>
      <c r="B19" s="22" t="s">
        <v>421</v>
      </c>
      <c r="C19" s="8" t="s">
        <v>422</v>
      </c>
      <c r="D19" s="8" t="s">
        <v>423</v>
      </c>
      <c r="E19" s="13" t="s">
        <v>81</v>
      </c>
      <c r="F19" s="14" t="s">
        <v>424</v>
      </c>
      <c r="G19" s="14" t="s">
        <v>87</v>
      </c>
    </row>
    <row r="20" ht="40.5" customHeight="1">
      <c r="A20" s="17"/>
      <c r="B20" s="22" t="s">
        <v>425</v>
      </c>
      <c r="C20" s="8" t="s">
        <v>426</v>
      </c>
      <c r="D20" s="8" t="s">
        <v>427</v>
      </c>
      <c r="E20" s="19" t="s">
        <v>108</v>
      </c>
      <c r="F20" s="14" t="s">
        <v>428</v>
      </c>
      <c r="G20" s="14" t="s">
        <v>87</v>
      </c>
    </row>
    <row r="21" ht="40.5" customHeight="1">
      <c r="A21" s="18"/>
      <c r="B21" s="22" t="s">
        <v>429</v>
      </c>
      <c r="C21" s="8" t="s">
        <v>430</v>
      </c>
      <c r="D21" s="8" t="s">
        <v>431</v>
      </c>
      <c r="E21" s="19" t="s">
        <v>108</v>
      </c>
      <c r="F21" s="14" t="s">
        <v>432</v>
      </c>
      <c r="G21" s="14" t="s">
        <v>87</v>
      </c>
    </row>
    <row r="22" ht="40.5" customHeight="1">
      <c r="A22" s="12" t="s">
        <v>433</v>
      </c>
      <c r="B22" s="22" t="s">
        <v>434</v>
      </c>
      <c r="C22" s="8" t="s">
        <v>435</v>
      </c>
      <c r="D22" s="8" t="s">
        <v>436</v>
      </c>
      <c r="E22" s="13" t="s">
        <v>81</v>
      </c>
      <c r="F22" s="14" t="s">
        <v>437</v>
      </c>
      <c r="G22" s="14" t="s">
        <v>87</v>
      </c>
    </row>
    <row r="23" ht="40.5" customHeight="1">
      <c r="A23" s="18"/>
      <c r="B23" s="22" t="s">
        <v>438</v>
      </c>
      <c r="C23" s="8" t="s">
        <v>439</v>
      </c>
      <c r="D23" s="22" t="s">
        <v>440</v>
      </c>
      <c r="E23" s="13" t="s">
        <v>81</v>
      </c>
      <c r="F23" s="14" t="s">
        <v>441</v>
      </c>
      <c r="G23" s="14" t="s">
        <v>87</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3:D3"/>
    <mergeCell ref="B4:D4"/>
    <mergeCell ref="A7:A14"/>
    <mergeCell ref="A15:A16"/>
    <mergeCell ref="A17:A18"/>
    <mergeCell ref="A19:A21"/>
    <mergeCell ref="A22:A23"/>
  </mergeCells>
  <dataValidations>
    <dataValidation type="list" allowBlank="1" sqref="E7:E23">
      <formula1>"Pass,Fail,Partial,Not Run"</formula1>
    </dataValidation>
  </dataValidation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2.0"/>
    <col customWidth="1" min="2" max="2" width="30.0"/>
    <col customWidth="1" min="3" max="3" width="50.0"/>
    <col customWidth="1" min="4" max="4" width="56.0"/>
    <col customWidth="1" min="5" max="5" width="18.0"/>
    <col customWidth="1" min="6" max="6" width="72.0"/>
    <col customWidth="1" min="7" max="7" width="14.0"/>
  </cols>
  <sheetData>
    <row r="1">
      <c r="A1" s="2" t="s">
        <v>442</v>
      </c>
    </row>
    <row r="3" ht="18.0" customHeight="1">
      <c r="A3" s="5" t="s">
        <v>7</v>
      </c>
      <c r="B3" s="7" t="s">
        <v>443</v>
      </c>
      <c r="C3" s="9"/>
      <c r="D3" s="9"/>
    </row>
    <row r="4" ht="18.0" customHeight="1">
      <c r="A4" s="5" t="s">
        <v>26</v>
      </c>
      <c r="B4" s="7" t="s">
        <v>444</v>
      </c>
      <c r="C4" s="9"/>
      <c r="D4" s="9"/>
    </row>
    <row r="6">
      <c r="A6" s="6" t="s">
        <v>35</v>
      </c>
      <c r="B6" s="6" t="s">
        <v>39</v>
      </c>
      <c r="C6" s="6" t="s">
        <v>41</v>
      </c>
      <c r="D6" s="6" t="s">
        <v>43</v>
      </c>
      <c r="E6" s="10" t="s">
        <v>46</v>
      </c>
      <c r="F6" s="10" t="s">
        <v>49</v>
      </c>
      <c r="G6" s="10" t="s">
        <v>51</v>
      </c>
    </row>
    <row r="7" ht="54.0" customHeight="1">
      <c r="A7" s="12" t="s">
        <v>445</v>
      </c>
      <c r="B7" s="8" t="s">
        <v>446</v>
      </c>
      <c r="C7" s="8" t="s">
        <v>447</v>
      </c>
      <c r="D7" s="8" t="s">
        <v>448</v>
      </c>
      <c r="E7" s="19" t="s">
        <v>108</v>
      </c>
      <c r="F7" s="14" t="s">
        <v>449</v>
      </c>
      <c r="G7" s="14" t="s">
        <v>87</v>
      </c>
    </row>
    <row r="8" ht="27.0" customHeight="1">
      <c r="A8" s="17"/>
      <c r="B8" s="8" t="s">
        <v>450</v>
      </c>
      <c r="C8" s="8" t="s">
        <v>451</v>
      </c>
      <c r="D8" s="8" t="s">
        <v>452</v>
      </c>
      <c r="E8" s="19" t="s">
        <v>108</v>
      </c>
      <c r="F8" s="14" t="s">
        <v>453</v>
      </c>
      <c r="G8" s="14" t="s">
        <v>87</v>
      </c>
    </row>
    <row r="9" ht="40.5" customHeight="1">
      <c r="A9" s="17"/>
      <c r="B9" s="8" t="s">
        <v>454</v>
      </c>
      <c r="C9" s="8" t="s">
        <v>451</v>
      </c>
      <c r="D9" s="8" t="s">
        <v>455</v>
      </c>
      <c r="E9" s="19" t="s">
        <v>108</v>
      </c>
      <c r="F9" s="14" t="s">
        <v>453</v>
      </c>
      <c r="G9" s="14" t="s">
        <v>87</v>
      </c>
    </row>
    <row r="10" ht="27.0" customHeight="1">
      <c r="A10" s="18"/>
      <c r="B10" s="8" t="s">
        <v>456</v>
      </c>
      <c r="C10" s="8" t="s">
        <v>457</v>
      </c>
      <c r="D10" s="8" t="s">
        <v>458</v>
      </c>
      <c r="E10" s="13" t="s">
        <v>81</v>
      </c>
      <c r="F10" s="14" t="s">
        <v>459</v>
      </c>
      <c r="G10" s="14" t="s">
        <v>87</v>
      </c>
    </row>
    <row r="11" ht="54.0" customHeight="1">
      <c r="A11" s="12" t="s">
        <v>460</v>
      </c>
      <c r="B11" s="8" t="s">
        <v>461</v>
      </c>
      <c r="C11" s="8" t="s">
        <v>462</v>
      </c>
      <c r="D11" s="8" t="s">
        <v>463</v>
      </c>
      <c r="E11" s="19" t="s">
        <v>108</v>
      </c>
      <c r="F11" s="14" t="s">
        <v>464</v>
      </c>
      <c r="G11" s="14" t="s">
        <v>87</v>
      </c>
    </row>
    <row r="12" ht="40.5" customHeight="1">
      <c r="A12" s="17"/>
      <c r="B12" s="8" t="s">
        <v>465</v>
      </c>
      <c r="C12" s="8" t="s">
        <v>466</v>
      </c>
      <c r="D12" s="8" t="s">
        <v>467</v>
      </c>
      <c r="E12" s="19" t="s">
        <v>108</v>
      </c>
      <c r="F12" s="14" t="s">
        <v>468</v>
      </c>
      <c r="G12" s="14" t="s">
        <v>87</v>
      </c>
    </row>
    <row r="13" ht="40.5" customHeight="1">
      <c r="A13" s="18"/>
      <c r="B13" s="8" t="s">
        <v>469</v>
      </c>
      <c r="C13" s="8" t="s">
        <v>470</v>
      </c>
      <c r="D13" s="8" t="s">
        <v>471</v>
      </c>
      <c r="E13" s="19" t="s">
        <v>108</v>
      </c>
      <c r="F13" s="14" t="s">
        <v>472</v>
      </c>
      <c r="G13" s="14" t="s">
        <v>87</v>
      </c>
    </row>
    <row r="14" ht="40.5" customHeight="1">
      <c r="A14" s="12" t="s">
        <v>473</v>
      </c>
      <c r="B14" s="8" t="s">
        <v>474</v>
      </c>
      <c r="C14" s="8" t="s">
        <v>475</v>
      </c>
      <c r="D14" s="8" t="s">
        <v>476</v>
      </c>
      <c r="E14" s="19" t="s">
        <v>108</v>
      </c>
      <c r="F14" s="14" t="s">
        <v>477</v>
      </c>
      <c r="G14" s="14" t="s">
        <v>87</v>
      </c>
    </row>
    <row r="15" ht="40.5" customHeight="1">
      <c r="A15" s="18"/>
      <c r="B15" s="8" t="s">
        <v>478</v>
      </c>
      <c r="C15" s="8" t="s">
        <v>479</v>
      </c>
      <c r="D15" s="8" t="s">
        <v>480</v>
      </c>
      <c r="E15" s="19" t="s">
        <v>108</v>
      </c>
      <c r="F15" s="14" t="s">
        <v>481</v>
      </c>
      <c r="G15" s="14" t="s">
        <v>87</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3:D3"/>
    <mergeCell ref="B4:D4"/>
    <mergeCell ref="A7:A10"/>
    <mergeCell ref="A11:A13"/>
    <mergeCell ref="A14:A15"/>
  </mergeCells>
  <dataValidations>
    <dataValidation type="list" allowBlank="1" sqref="E7:E15">
      <formula1>"Pass,Fail,Partial,Not Run"</formula1>
    </dataValidation>
  </dataValidation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2.0"/>
    <col customWidth="1" min="2" max="2" width="30.0"/>
    <col customWidth="1" min="3" max="3" width="50.0"/>
    <col customWidth="1" min="4" max="4" width="56.0"/>
    <col customWidth="1" min="5" max="5" width="18.0"/>
    <col customWidth="1" min="6" max="6" width="72.0"/>
    <col customWidth="1" min="7" max="7" width="14.0"/>
  </cols>
  <sheetData>
    <row r="1">
      <c r="A1" s="2" t="s">
        <v>482</v>
      </c>
    </row>
    <row r="3" ht="18.0" customHeight="1">
      <c r="A3" s="5" t="s">
        <v>7</v>
      </c>
      <c r="B3" s="7" t="s">
        <v>483</v>
      </c>
      <c r="C3" s="9"/>
      <c r="D3" s="9"/>
    </row>
    <row r="4" ht="18.0" customHeight="1">
      <c r="A4" s="5" t="s">
        <v>26</v>
      </c>
      <c r="B4" s="7" t="s">
        <v>484</v>
      </c>
      <c r="C4" s="9"/>
      <c r="D4" s="9"/>
    </row>
    <row r="6">
      <c r="A6" s="6" t="s">
        <v>35</v>
      </c>
      <c r="B6" s="6" t="s">
        <v>39</v>
      </c>
      <c r="C6" s="6" t="s">
        <v>41</v>
      </c>
      <c r="D6" s="6" t="s">
        <v>43</v>
      </c>
      <c r="E6" s="10" t="s">
        <v>46</v>
      </c>
      <c r="F6" s="10" t="s">
        <v>49</v>
      </c>
      <c r="G6" s="10" t="s">
        <v>51</v>
      </c>
    </row>
    <row r="7" ht="40.5" customHeight="1">
      <c r="A7" s="12" t="s">
        <v>485</v>
      </c>
      <c r="B7" s="8" t="s">
        <v>486</v>
      </c>
      <c r="C7" s="8" t="s">
        <v>487</v>
      </c>
      <c r="D7" s="8" t="s">
        <v>488</v>
      </c>
      <c r="E7" s="19" t="s">
        <v>108</v>
      </c>
      <c r="F7" s="14" t="s">
        <v>489</v>
      </c>
      <c r="G7" s="14" t="s">
        <v>87</v>
      </c>
    </row>
    <row r="8" ht="27.0" customHeight="1">
      <c r="A8" s="17"/>
      <c r="B8" s="8" t="s">
        <v>490</v>
      </c>
      <c r="C8" s="22" t="s">
        <v>491</v>
      </c>
      <c r="D8" s="8" t="s">
        <v>492</v>
      </c>
      <c r="E8" s="19" t="s">
        <v>108</v>
      </c>
      <c r="F8" s="14" t="s">
        <v>493</v>
      </c>
      <c r="G8" s="14" t="s">
        <v>87</v>
      </c>
    </row>
    <row r="9" ht="40.5" customHeight="1">
      <c r="A9" s="18"/>
      <c r="B9" s="8" t="s">
        <v>494</v>
      </c>
      <c r="C9" s="8" t="s">
        <v>495</v>
      </c>
      <c r="D9" s="8" t="s">
        <v>496</v>
      </c>
      <c r="E9" s="19" t="s">
        <v>108</v>
      </c>
      <c r="F9" s="14" t="s">
        <v>497</v>
      </c>
      <c r="G9" s="14" t="s">
        <v>87</v>
      </c>
    </row>
    <row r="10" ht="27.0" customHeight="1">
      <c r="A10" s="12" t="s">
        <v>498</v>
      </c>
      <c r="B10" s="8" t="s">
        <v>499</v>
      </c>
      <c r="C10" s="8" t="s">
        <v>500</v>
      </c>
      <c r="D10" s="8" t="s">
        <v>501</v>
      </c>
      <c r="E10" s="19" t="s">
        <v>108</v>
      </c>
      <c r="F10" s="14" t="s">
        <v>502</v>
      </c>
      <c r="G10" s="14" t="s">
        <v>87</v>
      </c>
    </row>
    <row r="11" ht="40.5" customHeight="1">
      <c r="A11" s="18"/>
      <c r="B11" s="8" t="s">
        <v>503</v>
      </c>
      <c r="C11" s="8" t="s">
        <v>504</v>
      </c>
      <c r="D11" s="8" t="s">
        <v>505</v>
      </c>
      <c r="E11" s="19" t="s">
        <v>108</v>
      </c>
      <c r="F11" s="14" t="s">
        <v>507</v>
      </c>
      <c r="G11" s="14" t="s">
        <v>87</v>
      </c>
    </row>
    <row r="12" ht="40.5" customHeight="1">
      <c r="A12" s="31" t="s">
        <v>508</v>
      </c>
      <c r="B12" s="8" t="s">
        <v>510</v>
      </c>
      <c r="C12" s="8" t="s">
        <v>511</v>
      </c>
      <c r="D12" s="8" t="s">
        <v>512</v>
      </c>
      <c r="E12" s="19" t="s">
        <v>108</v>
      </c>
      <c r="F12" s="14" t="s">
        <v>513</v>
      </c>
      <c r="G12" s="14" t="s">
        <v>87</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3:D3"/>
    <mergeCell ref="B4:D4"/>
    <mergeCell ref="A7:A9"/>
    <mergeCell ref="A10:A11"/>
  </mergeCells>
  <dataValidations>
    <dataValidation type="list" allowBlank="1" sqref="E7:E12">
      <formula1>"Pass,Fail,Partial,Not Run"</formula1>
    </dataValidation>
  </dataValidation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2.0"/>
    <col customWidth="1" min="2" max="2" width="30.0"/>
    <col customWidth="1" min="3" max="3" width="50.0"/>
    <col customWidth="1" min="4" max="4" width="56.0"/>
    <col customWidth="1" min="5" max="5" width="18.0"/>
    <col customWidth="1" min="6" max="6" width="72.0"/>
    <col customWidth="1" min="7" max="7" width="14.0"/>
  </cols>
  <sheetData>
    <row r="1">
      <c r="A1" s="2" t="s">
        <v>506</v>
      </c>
    </row>
    <row r="3" ht="18.0" customHeight="1">
      <c r="A3" s="5" t="s">
        <v>7</v>
      </c>
      <c r="B3" s="7" t="s">
        <v>509</v>
      </c>
      <c r="C3" s="9"/>
      <c r="D3" s="9"/>
    </row>
    <row r="4" ht="18.0" customHeight="1">
      <c r="A4" s="5" t="s">
        <v>26</v>
      </c>
      <c r="B4" s="7" t="s">
        <v>514</v>
      </c>
      <c r="C4" s="9"/>
      <c r="D4" s="9"/>
    </row>
    <row r="6">
      <c r="A6" s="6" t="s">
        <v>35</v>
      </c>
      <c r="B6" s="6" t="s">
        <v>39</v>
      </c>
      <c r="C6" s="6" t="s">
        <v>41</v>
      </c>
      <c r="D6" s="6" t="s">
        <v>43</v>
      </c>
      <c r="E6" s="10" t="s">
        <v>46</v>
      </c>
      <c r="F6" s="10" t="s">
        <v>49</v>
      </c>
      <c r="G6" s="10" t="s">
        <v>51</v>
      </c>
    </row>
    <row r="7" ht="27.0" customHeight="1">
      <c r="A7" s="12" t="s">
        <v>515</v>
      </c>
      <c r="B7" s="8" t="s">
        <v>516</v>
      </c>
      <c r="C7" s="8" t="s">
        <v>517</v>
      </c>
      <c r="D7" s="8" t="s">
        <v>518</v>
      </c>
      <c r="E7" s="13" t="s">
        <v>81</v>
      </c>
      <c r="F7" s="14" t="s">
        <v>519</v>
      </c>
      <c r="G7" s="14" t="s">
        <v>87</v>
      </c>
    </row>
    <row r="8" ht="40.5" customHeight="1">
      <c r="A8" s="17"/>
      <c r="B8" s="8" t="s">
        <v>520</v>
      </c>
      <c r="C8" s="22" t="s">
        <v>521</v>
      </c>
      <c r="D8" s="22" t="s">
        <v>522</v>
      </c>
      <c r="E8" s="19" t="s">
        <v>108</v>
      </c>
      <c r="F8" s="14" t="s">
        <v>523</v>
      </c>
      <c r="G8" s="14" t="s">
        <v>87</v>
      </c>
    </row>
    <row r="9" ht="27.0" customHeight="1">
      <c r="A9" s="17"/>
      <c r="B9" s="8" t="s">
        <v>524</v>
      </c>
      <c r="C9" s="8" t="s">
        <v>525</v>
      </c>
      <c r="D9" s="8" t="s">
        <v>526</v>
      </c>
      <c r="E9" s="19" t="s">
        <v>108</v>
      </c>
      <c r="F9" s="14" t="s">
        <v>527</v>
      </c>
      <c r="G9" s="14" t="s">
        <v>87</v>
      </c>
    </row>
    <row r="10" ht="27.0" customHeight="1">
      <c r="A10" s="18"/>
      <c r="B10" s="8" t="s">
        <v>528</v>
      </c>
      <c r="C10" s="8" t="s">
        <v>529</v>
      </c>
      <c r="D10" s="8" t="s">
        <v>530</v>
      </c>
      <c r="E10" s="19" t="s">
        <v>108</v>
      </c>
      <c r="F10" s="14" t="s">
        <v>532</v>
      </c>
      <c r="G10" s="14" t="s">
        <v>87</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3:D3"/>
    <mergeCell ref="B4:D4"/>
    <mergeCell ref="A7:A10"/>
  </mergeCells>
  <dataValidations>
    <dataValidation type="list" allowBlank="1" sqref="E7:E10">
      <formula1>"Pass,Fail,Partial,Not Run"</formula1>
    </dataValidation>
  </dataValidation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2.0"/>
    <col customWidth="1" min="2" max="2" width="30.0"/>
    <col customWidth="1" min="3" max="3" width="50.0"/>
    <col customWidth="1" min="4" max="4" width="56.0"/>
    <col customWidth="1" min="5" max="5" width="18.0"/>
    <col customWidth="1" min="6" max="6" width="72.0"/>
    <col customWidth="1" min="7" max="7" width="14.0"/>
  </cols>
  <sheetData>
    <row r="1">
      <c r="A1" s="2" t="s">
        <v>531</v>
      </c>
    </row>
    <row r="3" ht="18.0" customHeight="1">
      <c r="A3" s="5" t="s">
        <v>7</v>
      </c>
      <c r="B3" s="7" t="s">
        <v>533</v>
      </c>
      <c r="C3" s="9"/>
      <c r="D3" s="9"/>
    </row>
    <row r="4" ht="18.0" customHeight="1">
      <c r="A4" s="5" t="s">
        <v>26</v>
      </c>
      <c r="B4" s="7" t="s">
        <v>484</v>
      </c>
      <c r="C4" s="9"/>
      <c r="D4" s="9"/>
    </row>
    <row r="6">
      <c r="A6" s="6" t="s">
        <v>35</v>
      </c>
      <c r="B6" s="6" t="s">
        <v>39</v>
      </c>
      <c r="C6" s="6" t="s">
        <v>41</v>
      </c>
      <c r="D6" s="6" t="s">
        <v>43</v>
      </c>
      <c r="E6" s="10" t="s">
        <v>46</v>
      </c>
      <c r="F6" s="10" t="s">
        <v>49</v>
      </c>
      <c r="G6" s="10" t="s">
        <v>51</v>
      </c>
    </row>
    <row r="7" ht="27.0" customHeight="1">
      <c r="A7" s="12" t="s">
        <v>534</v>
      </c>
      <c r="B7" s="8" t="s">
        <v>535</v>
      </c>
      <c r="C7" s="8" t="s">
        <v>536</v>
      </c>
      <c r="D7" s="8" t="s">
        <v>537</v>
      </c>
      <c r="E7" s="19" t="s">
        <v>108</v>
      </c>
      <c r="F7" s="14" t="s">
        <v>538</v>
      </c>
      <c r="G7" s="14" t="s">
        <v>87</v>
      </c>
    </row>
    <row r="8" ht="40.5" customHeight="1">
      <c r="A8" s="17"/>
      <c r="B8" s="8" t="s">
        <v>539</v>
      </c>
      <c r="C8" s="8" t="s">
        <v>540</v>
      </c>
      <c r="D8" s="8" t="s">
        <v>541</v>
      </c>
      <c r="E8" s="19" t="s">
        <v>108</v>
      </c>
      <c r="F8" s="14" t="s">
        <v>542</v>
      </c>
      <c r="G8" s="14" t="s">
        <v>87</v>
      </c>
    </row>
    <row r="9" ht="40.5" customHeight="1">
      <c r="A9" s="17"/>
      <c r="B9" s="8" t="s">
        <v>543</v>
      </c>
      <c r="C9" s="8" t="s">
        <v>544</v>
      </c>
      <c r="D9" s="8" t="s">
        <v>545</v>
      </c>
      <c r="E9" s="13" t="s">
        <v>81</v>
      </c>
      <c r="F9" s="14" t="s">
        <v>546</v>
      </c>
      <c r="G9" s="14" t="s">
        <v>87</v>
      </c>
    </row>
    <row r="10" ht="40.5" customHeight="1">
      <c r="A10" s="18"/>
      <c r="B10" s="8" t="s">
        <v>547</v>
      </c>
      <c r="C10" s="8" t="s">
        <v>548</v>
      </c>
      <c r="D10" s="8" t="s">
        <v>549</v>
      </c>
      <c r="E10" s="19" t="s">
        <v>108</v>
      </c>
      <c r="F10" s="14" t="s">
        <v>550</v>
      </c>
      <c r="G10" s="14" t="s">
        <v>87</v>
      </c>
    </row>
    <row r="11" ht="27.0" customHeight="1">
      <c r="A11" s="12" t="s">
        <v>551</v>
      </c>
      <c r="B11" s="8" t="s">
        <v>552</v>
      </c>
      <c r="C11" s="8" t="s">
        <v>553</v>
      </c>
      <c r="D11" s="8" t="s">
        <v>554</v>
      </c>
      <c r="E11" s="19" t="s">
        <v>108</v>
      </c>
      <c r="F11" s="14" t="s">
        <v>555</v>
      </c>
      <c r="G11" s="14" t="s">
        <v>87</v>
      </c>
    </row>
    <row r="12" ht="27.0" customHeight="1">
      <c r="A12" s="17"/>
      <c r="B12" s="8" t="s">
        <v>556</v>
      </c>
      <c r="C12" s="8" t="s">
        <v>557</v>
      </c>
      <c r="D12" s="8" t="s">
        <v>558</v>
      </c>
      <c r="E12" s="19" t="s">
        <v>108</v>
      </c>
      <c r="F12" s="14" t="s">
        <v>559</v>
      </c>
      <c r="G12" s="14" t="s">
        <v>87</v>
      </c>
    </row>
    <row r="13" ht="40.5" customHeight="1">
      <c r="A13" s="18"/>
      <c r="B13" s="8" t="s">
        <v>560</v>
      </c>
      <c r="C13" s="8" t="s">
        <v>561</v>
      </c>
      <c r="D13" s="8" t="s">
        <v>562</v>
      </c>
      <c r="E13" s="19" t="s">
        <v>108</v>
      </c>
      <c r="F13" s="14" t="s">
        <v>563</v>
      </c>
      <c r="G13" s="14" t="s">
        <v>87</v>
      </c>
    </row>
    <row r="14" ht="40.5" customHeight="1">
      <c r="A14" s="31" t="s">
        <v>564</v>
      </c>
      <c r="B14" s="8" t="s">
        <v>565</v>
      </c>
      <c r="C14" s="8" t="s">
        <v>566</v>
      </c>
      <c r="D14" s="8" t="s">
        <v>567</v>
      </c>
      <c r="E14" s="19" t="s">
        <v>108</v>
      </c>
      <c r="F14" s="14" t="s">
        <v>568</v>
      </c>
      <c r="G14" s="14" t="s">
        <v>87</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3:D3"/>
    <mergeCell ref="B4:D4"/>
    <mergeCell ref="A7:A10"/>
    <mergeCell ref="A11:A13"/>
  </mergeCells>
  <dataValidations>
    <dataValidation type="list" allowBlank="1" sqref="E7:E14">
      <formula1>"Pass,Fail,Partial,Not Run"</formula1>
    </dataValidation>
  </dataValidations>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2.0"/>
    <col customWidth="1" min="2" max="2" width="30.0"/>
    <col customWidth="1" min="3" max="3" width="50.0"/>
    <col customWidth="1" min="4" max="4" width="56.0"/>
    <col customWidth="1" min="5" max="5" width="18.0"/>
    <col customWidth="1" min="6" max="6" width="72.0"/>
    <col customWidth="1" min="7" max="7" width="14.0"/>
  </cols>
  <sheetData>
    <row r="1">
      <c r="A1" s="2" t="s">
        <v>569</v>
      </c>
    </row>
    <row r="3" ht="18.0" customHeight="1">
      <c r="A3" s="5" t="s">
        <v>7</v>
      </c>
      <c r="B3" s="7" t="s">
        <v>570</v>
      </c>
      <c r="C3" s="9"/>
      <c r="D3" s="9"/>
    </row>
    <row r="4" ht="18.0" customHeight="1">
      <c r="A4" s="5" t="s">
        <v>26</v>
      </c>
      <c r="B4" s="7" t="s">
        <v>571</v>
      </c>
      <c r="C4" s="9"/>
      <c r="D4" s="9"/>
    </row>
    <row r="6">
      <c r="A6" s="6" t="s">
        <v>35</v>
      </c>
      <c r="B6" s="6" t="s">
        <v>39</v>
      </c>
      <c r="C6" s="6" t="s">
        <v>41</v>
      </c>
      <c r="D6" s="6" t="s">
        <v>43</v>
      </c>
      <c r="E6" s="10" t="s">
        <v>46</v>
      </c>
      <c r="F6" s="10" t="s">
        <v>49</v>
      </c>
      <c r="G6" s="10" t="s">
        <v>51</v>
      </c>
    </row>
    <row r="7" ht="108.0" customHeight="1">
      <c r="A7" s="12" t="s">
        <v>572</v>
      </c>
      <c r="B7" s="8" t="s">
        <v>573</v>
      </c>
      <c r="C7" s="8" t="s">
        <v>574</v>
      </c>
      <c r="D7" s="8" t="s">
        <v>575</v>
      </c>
      <c r="E7" s="13" t="s">
        <v>81</v>
      </c>
      <c r="F7" s="14" t="s">
        <v>576</v>
      </c>
      <c r="G7" s="14" t="s">
        <v>87</v>
      </c>
    </row>
    <row r="8" ht="40.5" customHeight="1">
      <c r="A8" s="17"/>
      <c r="B8" s="8" t="s">
        <v>577</v>
      </c>
      <c r="C8" s="8" t="s">
        <v>578</v>
      </c>
      <c r="D8" s="8" t="s">
        <v>579</v>
      </c>
      <c r="E8" s="19" t="s">
        <v>108</v>
      </c>
      <c r="F8" s="14" t="s">
        <v>580</v>
      </c>
      <c r="G8" s="14" t="s">
        <v>87</v>
      </c>
    </row>
    <row r="9" ht="27.0" customHeight="1">
      <c r="A9" s="18"/>
      <c r="B9" s="8" t="s">
        <v>581</v>
      </c>
      <c r="C9" s="22" t="s">
        <v>582</v>
      </c>
      <c r="D9" s="8" t="s">
        <v>583</v>
      </c>
      <c r="E9" s="19" t="s">
        <v>108</v>
      </c>
      <c r="F9" s="28" t="s">
        <v>584</v>
      </c>
      <c r="G9" s="14" t="s">
        <v>87</v>
      </c>
    </row>
    <row r="10" ht="40.5" customHeight="1">
      <c r="A10" s="32" t="s">
        <v>585</v>
      </c>
      <c r="B10" s="22" t="s">
        <v>586</v>
      </c>
      <c r="C10" s="8" t="s">
        <v>587</v>
      </c>
      <c r="D10" s="8" t="s">
        <v>588</v>
      </c>
      <c r="E10" s="13" t="s">
        <v>81</v>
      </c>
      <c r="F10" s="14" t="s">
        <v>589</v>
      </c>
      <c r="G10" s="14" t="s">
        <v>87</v>
      </c>
    </row>
    <row r="11" ht="40.5" customHeight="1">
      <c r="A11" s="32" t="s">
        <v>590</v>
      </c>
      <c r="B11" s="22" t="s">
        <v>591</v>
      </c>
      <c r="C11" s="8" t="s">
        <v>592</v>
      </c>
      <c r="D11" s="8" t="s">
        <v>593</v>
      </c>
      <c r="E11" s="19" t="s">
        <v>108</v>
      </c>
      <c r="F11" s="14" t="s">
        <v>594</v>
      </c>
      <c r="G11" s="14" t="s">
        <v>87</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3:D3"/>
    <mergeCell ref="B4:D4"/>
    <mergeCell ref="A7:A9"/>
  </mergeCells>
  <dataValidations>
    <dataValidation type="list" allowBlank="1" sqref="E7:E11">
      <formula1>"Pass,Fail,Partial,Not Run"</formula1>
    </dataValidation>
  </dataValidations>
  <printOptions/>
  <pageMargins bottom="1.0" footer="0.0" header="0.0" left="0.75" right="0.75" top="1.0"/>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6" width="18.0"/>
    <col customWidth="1" min="7" max="26" width="8.71"/>
  </cols>
  <sheetData>
    <row r="1">
      <c r="A1" s="33" t="s">
        <v>595</v>
      </c>
    </row>
    <row r="2">
      <c r="A2" s="34" t="s">
        <v>596</v>
      </c>
    </row>
    <row r="4">
      <c r="A4" s="35" t="s">
        <v>597</v>
      </c>
      <c r="B4" s="36"/>
      <c r="C4" s="36"/>
      <c r="D4" s="36"/>
      <c r="E4" s="36"/>
      <c r="F4" s="37"/>
    </row>
    <row r="5" ht="18.0" customHeight="1">
      <c r="A5" s="38" t="s">
        <v>598</v>
      </c>
      <c r="B5" s="34" t="s">
        <v>599</v>
      </c>
    </row>
    <row r="6" ht="30.0" customHeight="1">
      <c r="A6" s="38" t="s">
        <v>600</v>
      </c>
      <c r="B6" s="34" t="s">
        <v>601</v>
      </c>
    </row>
    <row r="7" ht="45.0" customHeight="1">
      <c r="A7" s="38" t="s">
        <v>602</v>
      </c>
      <c r="B7" s="34" t="s">
        <v>603</v>
      </c>
    </row>
    <row r="8" ht="18.0" customHeight="1">
      <c r="A8" s="38" t="s">
        <v>604</v>
      </c>
      <c r="B8" s="34" t="s">
        <v>605</v>
      </c>
    </row>
    <row r="9" ht="30.0" customHeight="1">
      <c r="A9" s="38" t="s">
        <v>606</v>
      </c>
      <c r="B9" s="39" t="s">
        <v>607</v>
      </c>
    </row>
    <row r="10" ht="30.0" customHeight="1">
      <c r="A10" s="38" t="s">
        <v>608</v>
      </c>
      <c r="B10" s="34" t="s">
        <v>609</v>
      </c>
    </row>
    <row r="11" ht="45.0" customHeight="1">
      <c r="A11" s="38" t="s">
        <v>610</v>
      </c>
      <c r="B11" s="34" t="s">
        <v>611</v>
      </c>
    </row>
    <row r="12" ht="45.0" customHeight="1">
      <c r="A12" s="40" t="s">
        <v>612</v>
      </c>
      <c r="B12" s="34" t="s">
        <v>613</v>
      </c>
    </row>
    <row r="13" ht="60.0" customHeight="1">
      <c r="A13" s="38" t="s">
        <v>107</v>
      </c>
      <c r="B13" s="34" t="s">
        <v>614</v>
      </c>
    </row>
    <row r="15">
      <c r="A15" s="35" t="s">
        <v>615</v>
      </c>
      <c r="B15" s="36"/>
      <c r="C15" s="36"/>
      <c r="D15" s="36"/>
      <c r="E15" s="36"/>
      <c r="F15" s="37"/>
    </row>
    <row r="16">
      <c r="A16" s="41" t="s">
        <v>122</v>
      </c>
      <c r="B16" s="41" t="s">
        <v>108</v>
      </c>
      <c r="C16" s="41" t="s">
        <v>616</v>
      </c>
      <c r="D16" s="41" t="s">
        <v>81</v>
      </c>
      <c r="E16" s="41" t="s">
        <v>201</v>
      </c>
      <c r="F16" s="41" t="s">
        <v>617</v>
      </c>
    </row>
    <row r="17">
      <c r="A17" s="42" t="s">
        <v>130</v>
      </c>
      <c r="B17" s="43">
        <v>11.0</v>
      </c>
      <c r="C17" s="43">
        <v>3.0</v>
      </c>
      <c r="D17" s="43">
        <v>8.0</v>
      </c>
      <c r="E17" s="43">
        <v>2.0</v>
      </c>
      <c r="F17" s="43">
        <v>24.0</v>
      </c>
    </row>
    <row r="18">
      <c r="A18" s="42" t="s">
        <v>135</v>
      </c>
      <c r="B18" s="43">
        <v>5.0</v>
      </c>
      <c r="C18" s="43">
        <v>0.0</v>
      </c>
      <c r="D18" s="43">
        <v>6.0</v>
      </c>
      <c r="E18" s="43">
        <v>0.0</v>
      </c>
      <c r="F18" s="43">
        <v>11.0</v>
      </c>
    </row>
    <row r="19">
      <c r="A19" s="42" t="s">
        <v>141</v>
      </c>
      <c r="B19" s="43">
        <v>12.0</v>
      </c>
      <c r="C19" s="43">
        <v>0.0</v>
      </c>
      <c r="D19" s="43">
        <v>5.0</v>
      </c>
      <c r="E19" s="43">
        <v>0.0</v>
      </c>
      <c r="F19" s="43">
        <v>17.0</v>
      </c>
    </row>
    <row r="20" ht="15.75" customHeight="1">
      <c r="A20" s="42" t="s">
        <v>148</v>
      </c>
      <c r="B20" s="43">
        <v>8.0</v>
      </c>
      <c r="C20" s="43">
        <v>0.0</v>
      </c>
      <c r="D20" s="43">
        <v>1.0</v>
      </c>
      <c r="E20" s="43">
        <v>0.0</v>
      </c>
      <c r="F20" s="43">
        <v>9.0</v>
      </c>
    </row>
    <row r="21" ht="15.75" customHeight="1">
      <c r="A21" s="42" t="s">
        <v>156</v>
      </c>
      <c r="B21" s="43">
        <v>6.0</v>
      </c>
      <c r="C21" s="43">
        <v>0.0</v>
      </c>
      <c r="D21" s="43">
        <v>0.0</v>
      </c>
      <c r="E21" s="43">
        <v>0.0</v>
      </c>
      <c r="F21" s="43">
        <v>6.0</v>
      </c>
    </row>
    <row r="22" ht="15.75" customHeight="1">
      <c r="A22" s="42" t="s">
        <v>161</v>
      </c>
      <c r="B22" s="43">
        <v>3.0</v>
      </c>
      <c r="C22" s="43">
        <v>0.0</v>
      </c>
      <c r="D22" s="43">
        <v>1.0</v>
      </c>
      <c r="E22" s="43">
        <v>0.0</v>
      </c>
      <c r="F22" s="43">
        <v>4.0</v>
      </c>
    </row>
    <row r="23" ht="15.75" customHeight="1">
      <c r="A23" s="42" t="s">
        <v>170</v>
      </c>
      <c r="B23" s="43">
        <v>7.0</v>
      </c>
      <c r="C23" s="43">
        <v>0.0</v>
      </c>
      <c r="D23" s="43">
        <v>1.0</v>
      </c>
      <c r="E23" s="43">
        <v>0.0</v>
      </c>
      <c r="F23" s="43">
        <v>8.0</v>
      </c>
    </row>
    <row r="24" ht="15.75" customHeight="1">
      <c r="A24" s="42" t="s">
        <v>178</v>
      </c>
      <c r="B24" s="43">
        <v>3.0</v>
      </c>
      <c r="C24" s="43">
        <v>0.0</v>
      </c>
      <c r="D24" s="43">
        <v>2.0</v>
      </c>
      <c r="E24" s="43">
        <v>0.0</v>
      </c>
      <c r="F24" s="43">
        <v>5.0</v>
      </c>
    </row>
    <row r="25" ht="15.75" customHeight="1">
      <c r="A25" s="41" t="s">
        <v>618</v>
      </c>
      <c r="B25" s="44">
        <v>55.0</v>
      </c>
      <c r="C25" s="44">
        <v>3.0</v>
      </c>
      <c r="D25" s="44">
        <v>24.0</v>
      </c>
      <c r="E25" s="44">
        <v>2.0</v>
      </c>
      <c r="F25" s="44">
        <v>84.0</v>
      </c>
    </row>
    <row r="26" ht="15.75" customHeight="1"/>
    <row r="27" ht="15.75" customHeight="1">
      <c r="A27" s="19" t="s">
        <v>108</v>
      </c>
      <c r="B27" s="34" t="s">
        <v>619</v>
      </c>
    </row>
    <row r="28" ht="15.75" customHeight="1">
      <c r="A28" s="45" t="s">
        <v>616</v>
      </c>
      <c r="B28" s="34" t="s">
        <v>620</v>
      </c>
    </row>
    <row r="29" ht="15.75" customHeight="1">
      <c r="A29" s="24" t="s">
        <v>201</v>
      </c>
      <c r="B29" s="34" t="s">
        <v>621</v>
      </c>
    </row>
    <row r="30" ht="15.75" customHeight="1"/>
    <row r="31" ht="15.75" customHeight="1">
      <c r="A31" s="35" t="s">
        <v>622</v>
      </c>
      <c r="B31" s="36"/>
      <c r="C31" s="36"/>
      <c r="D31" s="36"/>
      <c r="E31" s="36"/>
      <c r="F31" s="37"/>
    </row>
    <row r="32" ht="15.75" customHeight="1">
      <c r="A32" s="46" t="s">
        <v>623</v>
      </c>
      <c r="B32" s="47" t="s">
        <v>624</v>
      </c>
      <c r="C32" s="36"/>
      <c r="D32" s="37"/>
      <c r="E32" s="47" t="s">
        <v>625</v>
      </c>
      <c r="F32" s="37"/>
    </row>
    <row r="33" ht="57.75" customHeight="1">
      <c r="A33" s="42" t="s">
        <v>626</v>
      </c>
      <c r="B33" s="48" t="s">
        <v>627</v>
      </c>
      <c r="C33" s="49"/>
      <c r="D33" s="50"/>
      <c r="E33" s="48" t="s">
        <v>628</v>
      </c>
      <c r="F33" s="50"/>
    </row>
    <row r="34" ht="87.0" customHeight="1">
      <c r="A34" s="42" t="s">
        <v>629</v>
      </c>
      <c r="B34" s="48" t="s">
        <v>630</v>
      </c>
      <c r="C34" s="49"/>
      <c r="D34" s="50"/>
      <c r="E34" s="51" t="s">
        <v>631</v>
      </c>
      <c r="F34" s="50"/>
    </row>
    <row r="35" ht="72.0" customHeight="1">
      <c r="A35" s="42" t="s">
        <v>632</v>
      </c>
      <c r="B35" s="48" t="s">
        <v>633</v>
      </c>
      <c r="C35" s="49"/>
      <c r="D35" s="50"/>
      <c r="E35" s="51" t="s">
        <v>634</v>
      </c>
      <c r="F35" s="50"/>
    </row>
    <row r="36" ht="15.75" customHeight="1">
      <c r="A36" s="52" t="s">
        <v>635</v>
      </c>
    </row>
    <row r="37" ht="15.75" customHeight="1"/>
    <row r="38" ht="15.75" customHeight="1">
      <c r="A38" s="35" t="s">
        <v>636</v>
      </c>
      <c r="B38" s="36"/>
      <c r="C38" s="36"/>
      <c r="D38" s="36"/>
      <c r="E38" s="36"/>
      <c r="F38" s="37"/>
    </row>
    <row r="39" ht="48.0" customHeight="1">
      <c r="A39" s="39" t="s">
        <v>637</v>
      </c>
    </row>
    <row r="40" ht="48.0" customHeight="1">
      <c r="A40" s="34" t="s">
        <v>638</v>
      </c>
    </row>
    <row r="41" ht="33.0" customHeight="1">
      <c r="A41" s="34" t="s">
        <v>639</v>
      </c>
    </row>
    <row r="42" ht="18.0" customHeight="1">
      <c r="A42" s="34" t="s">
        <v>640</v>
      </c>
    </row>
    <row r="43" ht="33.0" customHeight="1">
      <c r="A43" s="34" t="s">
        <v>641</v>
      </c>
    </row>
    <row r="44" ht="33.0" customHeight="1">
      <c r="A44" s="34" t="s">
        <v>642</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33">
    <mergeCell ref="A1:F1"/>
    <mergeCell ref="A2:F2"/>
    <mergeCell ref="A4:F4"/>
    <mergeCell ref="B5:F5"/>
    <mergeCell ref="B6:F6"/>
    <mergeCell ref="B7:F7"/>
    <mergeCell ref="B8:F8"/>
    <mergeCell ref="B9:F9"/>
    <mergeCell ref="B10:F10"/>
    <mergeCell ref="B11:F11"/>
    <mergeCell ref="B12:F12"/>
    <mergeCell ref="B13:F13"/>
    <mergeCell ref="A15:F15"/>
    <mergeCell ref="B27:F27"/>
    <mergeCell ref="B28:F28"/>
    <mergeCell ref="B29:F29"/>
    <mergeCell ref="A31:F31"/>
    <mergeCell ref="B32:D32"/>
    <mergeCell ref="E32:F32"/>
    <mergeCell ref="A38:F38"/>
    <mergeCell ref="A39:F39"/>
    <mergeCell ref="A40:F40"/>
    <mergeCell ref="A41:F41"/>
    <mergeCell ref="A42:F42"/>
    <mergeCell ref="A43:F43"/>
    <mergeCell ref="A44:F44"/>
    <mergeCell ref="B33:D33"/>
    <mergeCell ref="E33:F33"/>
    <mergeCell ref="B34:D34"/>
    <mergeCell ref="E34:F34"/>
    <mergeCell ref="B35:D35"/>
    <mergeCell ref="E35:F35"/>
    <mergeCell ref="A36:F36"/>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2026-10-06T09:33:45Z</dcterms:created>
  <dc:creator>openpyxl</dc:creator>
</cp:coreProperties>
</file>