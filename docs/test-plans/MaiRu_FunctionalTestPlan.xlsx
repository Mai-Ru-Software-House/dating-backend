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Test Users" sheetId="2" r:id="rId5"/>
    <sheet state="visible" name="Seed Data" sheetId="3" r:id="rId6"/>
    <sheet state="visible" name="1 Create Profile" sheetId="4" r:id="rId7"/>
    <sheet state="visible" name="2 Login Switch User" sheetId="5" r:id="rId8"/>
    <sheet state="visible" name="3 Find Matches" sheetId="6" r:id="rId9"/>
    <sheet state="visible" name="4 Chat List Conversation" sheetId="7" r:id="rId10"/>
    <sheet state="visible" name="5 Send Reply" sheetId="8" r:id="rId11"/>
    <sheet state="visible" name="6 Favorites" sheetId="9" r:id="rId12"/>
    <sheet state="visible" name="7 Notes" sheetId="10" r:id="rId13"/>
    <sheet state="visible" name="8 System" sheetId="11" r:id="rId14"/>
  </sheets>
  <definedNames/>
  <calcPr/>
  <extLst>
    <ext uri="GoogleSheetsCustomDataVersion2">
      <go:sheetsCustomData xmlns:go="http://customooxmlschemas.google.com/" r:id="rId15" roundtripDataChecksum="M24UyRXcyDMayEJPMFUrdFEkH2WDREgsTNu1MNj6bU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3">
      <text>
        <t xml:space="preserve">======
ID#AAACIQHtNN0
Natdanai Voraratanavivich    (2026-10-06 10:28:31)
this should be backend unit test?</t>
      </text>
    </comment>
    <comment authorId="0" ref="C12">
      <text>
        <t xml:space="preserve">======
ID#AAACIQHtNNw
Natdanai Voraratanavivich    (2026-10-06 10:28:10)
this should be restricted at first place in front?</t>
      </text>
    </comment>
  </commentList>
  <extLst>
    <ext uri="GoogleSheetsCustomDataVersion2">
      <go:sheetsCustomData xmlns:go="http://customooxmlschemas.google.com/" r:id="rId1" roundtripDataSignature="AMtx7miM5leZWHkKXEKpuHcYsbgTLXcP+w=="/>
    </ext>
  </extLst>
</comments>
</file>

<file path=xl/sharedStrings.xml><?xml version="1.0" encoding="utf-8"?>
<sst xmlns="http://schemas.openxmlformats.org/spreadsheetml/2006/main" count="622" uniqueCount="509">
  <si>
    <t>Test users and seed data</t>
  </si>
  <si>
    <t>Mai Ru Online Dating System: Functional Test Plan</t>
  </si>
  <si>
    <t>1. Create Profile</t>
  </si>
  <si>
    <t>Load these with the seed script before testing. Ages and distances are formulas, so they stay correct on the day the tests are run.</t>
  </si>
  <si>
    <t>Use case(s)</t>
  </si>
  <si>
    <t>SEN-201 Fall 2026, Lab: Creating Unit and Functional Tests. Integration and system level test plan, written by the whole team.</t>
  </si>
  <si>
    <t>Test day</t>
  </si>
  <si>
    <t>Seed data for messages, favorites and notes</t>
  </si>
  <si>
    <t>Purpose</t>
  </si>
  <si>
    <t>Times are relative to when the seed script runs. Users are on the Test Users sheet.</t>
  </si>
  <si>
    <t>Create Profile (Must Have), including Upload Profile Photo</t>
  </si>
  <si>
    <t>Check that the parts of the system (mobile app, REST API, services, PostgreSQL, Match Engine, RustFS photo storage and Nominatim) work together and give the behaviour described in our use case narratives.</t>
  </si>
  <si>
    <t>Seeded messages</t>
  </si>
  <si>
    <t>Test level</t>
  </si>
  <si>
    <t>Precondition</t>
  </si>
  <si>
    <t>App is open on the landing page. No user is logged in. Seed data from the Test Users sheet is loaded.</t>
  </si>
  <si>
    <t>Integration and system testing. Black box: each case is written from the use cases and docs/api-contract.md, not from the code. Unit tests are separate and are done by each developer for their own component.</t>
  </si>
  <si>
    <t>Msg</t>
  </si>
  <si>
    <t>In scope</t>
  </si>
  <si>
    <t>Objective</t>
  </si>
  <si>
    <t>All Must Have use cases (Create Profile, Login/Switch User, Find Matches, View Chat List, View Conversation, Send Message, Reply to Message) and the Nice to Have use cases (Add Favorite, Record Small Notes, View Notes). Plus system wide checks: sessions, privacy, error format, time stamps and data that survives a restart.</t>
  </si>
  <si>
    <t>Change to a fixed date if you want the results to stay the same after the test session.</t>
  </si>
  <si>
    <t>DOB that turns 18 today</t>
  </si>
  <si>
    <t>Out of scope</t>
  </si>
  <si>
    <t>Test Case</t>
  </si>
  <si>
    <t>The maths inside the match score (covered by the Match Engine unit tests), visual design of the app, load testing beyond the simple speed check on the System sheet.</t>
  </si>
  <si>
    <t>From</t>
  </si>
  <si>
    <t>Test Data</t>
  </si>
  <si>
    <t>Expected Result</t>
  </si>
  <si>
    <t>To</t>
  </si>
  <si>
    <t>Text</t>
  </si>
  <si>
    <t>Environment</t>
  </si>
  <si>
    <t>O1. A user who fills every section correctly can create a profile and then log in with it.</t>
  </si>
  <si>
    <t>Sent</t>
  </si>
  <si>
    <t>Full stack started from the Infra repo (docker compose): backend (Elysia on Bun), PostgreSQL with the seed data on the Test Users sheet, Match Engine, RustFS, Nominatim. Mobile app on an Android phone or emulator. API checks can also be run with Postman or curl.</t>
  </si>
  <si>
    <t>State</t>
  </si>
  <si>
    <t>Entry criteria</t>
  </si>
  <si>
    <t>All components build and their unit tests pass. The seed script loads the users, messages, favorites and notes on the Test Users and Seed Data sheets. Assumptions below are confirmed or updated.</t>
  </si>
  <si>
    <t>CP01: Valid profile, all sections correct</t>
  </si>
  <si>
    <t>M1</t>
  </si>
  <si>
    <t>1) Tap Create Profile
2) Enter the mint_01 data from the Seed Data sheet (Extra data) and square_500.jpg
3) Tap Submit
4) Log in as mint_01 / Mint2026</t>
  </si>
  <si>
    <t>Exit criteria</t>
  </si>
  <si>
    <t>chai</t>
  </si>
  <si>
    <t>Every test case gives its expected result. When a case fails, the bug is fixed and the case is run again together with the other cases for the same objective (regression).</t>
  </si>
  <si>
    <t>1) Form opens with three sections
2) Each section shows as valid when complete
3) System confirms the profile is created and returns to the main menu
4) Login works and Home page opens. Username, display name, age, gender, place name and photo are correct on the own profile page</t>
  </si>
  <si>
    <t>alice</t>
  </si>
  <si>
    <t>Hello Alice, nice to match with you!</t>
  </si>
  <si>
    <t>1 day ago</t>
  </si>
  <si>
    <t>How to read</t>
  </si>
  <si>
    <t>CP02: Location gives a place name</t>
  </si>
  <si>
    <t>Sheets 1 to 8 each cover one use case (sheet 8 covers the whole system). Each objective on the left covers the test cases next to it. Test data names users from the Test Users sheet and messages from the Seed Data sheet. When we execute the plan in a few weeks, we will add Actual Result and Pass/Fail columns next to Expected Result.</t>
  </si>
  <si>
    <t>Allow location on the phone, or set the emulator to 13.7466, 100.5393 (Siam)</t>
  </si>
  <si>
    <t>Read</t>
  </si>
  <si>
    <t>Used in CP15 (boundary, must be accepted).</t>
  </si>
  <si>
    <t>Own profile shows a place name in the format province, district (for example Bangkok, Pathum Wan)</t>
  </si>
  <si>
    <t>M2</t>
  </si>
  <si>
    <t>DOB that turns 18 tomorrow</t>
  </si>
  <si>
    <t>bob</t>
  </si>
  <si>
    <t>CP03: New photo replaces the old one (A5)</t>
  </si>
  <si>
    <t>Log in as mint_01, change the profile photo to another square jpg</t>
  </si>
  <si>
    <t>Columns on each use case sheet (lecture 08, slide 11)</t>
  </si>
  <si>
    <t>New photo shows. The old photo object is deleted from RustFS</t>
  </si>
  <si>
    <t>Hi Alice</t>
  </si>
  <si>
    <t>O2. The username must be unique and follow the username rules (A1).</t>
  </si>
  <si>
    <t>60 minutes ago</t>
  </si>
  <si>
    <t>Unread</t>
  </si>
  <si>
    <t>The aspect of the system being tested. One objective covers one or more test cases.</t>
  </si>
  <si>
    <t>M3</t>
  </si>
  <si>
    <t>CP04: Username already in use</t>
  </si>
  <si>
    <t>Used in CP14 (still 17, must be rejected).</t>
  </si>
  <si>
    <t>Username: alice, all other fields valid</t>
  </si>
  <si>
    <t>Message says the username is taken and asks for another one. Other values stay in the form. API returns 409 USERNAME_TAKEN. No second alice is created</t>
  </si>
  <si>
    <t>One condition we want to check, with an ID (for example CP04) so we can refer to it.</t>
  </si>
  <si>
    <t>Are you free this weekend?</t>
  </si>
  <si>
    <t>50 minutes ago</t>
  </si>
  <si>
    <t>CP05: Username too short (A1)</t>
  </si>
  <si>
    <t>Username</t>
  </si>
  <si>
    <t>Username: abc</t>
  </si>
  <si>
    <t>Error message shows the username rules. Nothing saved</t>
  </si>
  <si>
    <t>Password</t>
  </si>
  <si>
    <t>M4</t>
  </si>
  <si>
    <t>CP06: Username with characters not allowed (A1)</t>
  </si>
  <si>
    <t>Display name</t>
  </si>
  <si>
    <t>The exact input or actions for the case. Users and messages come from the Test Users and Seed Data sheets.</t>
  </si>
  <si>
    <t>Username: mint#01</t>
  </si>
  <si>
    <t>Gender</t>
  </si>
  <si>
    <t>CP07: Empty username</t>
  </si>
  <si>
    <t>Date of birth</t>
  </si>
  <si>
    <t>There is a jazz night at Siam on Saturday.</t>
  </si>
  <si>
    <t>Username: (blank)</t>
  </si>
  <si>
    <t>40 minutes ago</t>
  </si>
  <si>
    <t>Age</t>
  </si>
  <si>
    <t>Error says the username is required. Submit stays disabled</t>
  </si>
  <si>
    <t>A clear statement of what the correct system does, so anyone can decide pass or fail.</t>
  </si>
  <si>
    <t>Latitude</t>
  </si>
  <si>
    <t>CP08: Username at maximum length (A1)</t>
  </si>
  <si>
    <t>Longitude</t>
  </si>
  <si>
    <t>Username: abcdefghij0123456789 (20 characters), all other fields valid</t>
  </si>
  <si>
    <t>M5</t>
  </si>
  <si>
    <t>Area</t>
  </si>
  <si>
    <t>Accepted. Profile is created and the full username is shown, not cut</t>
  </si>
  <si>
    <t>Yellow cell</t>
  </si>
  <si>
    <t>Target gender</t>
  </si>
  <si>
    <t>A value the team should check or change before running the tests.</t>
  </si>
  <si>
    <t>CP09: Same username at the same time</t>
  </si>
  <si>
    <t>Min age</t>
  </si>
  <si>
    <t>Two phones submit username race_01 within one second</t>
  </si>
  <si>
    <t>Hey Chai, see you at football later.</t>
  </si>
  <si>
    <t>Max age</t>
  </si>
  <si>
    <t>One request succeeds (201). The other gets 409 USERNAME_TAKEN. Only one race_01 exists in the database</t>
  </si>
  <si>
    <t>2 hours ago</t>
  </si>
  <si>
    <t>Radius km</t>
  </si>
  <si>
    <t>O3. The password must meet the rules, match its confirmation and never be stored as plain text (A2).</t>
  </si>
  <si>
    <t>Distance from alice (km)</t>
  </si>
  <si>
    <t>In alice's recommendations?</t>
  </si>
  <si>
    <t>Who tests what (suggestion, change it if the team agrees on another split)</t>
  </si>
  <si>
    <t>M6</t>
  </si>
  <si>
    <t>Why this user exists</t>
  </si>
  <si>
    <t>CP10: Password too short (A2)</t>
  </si>
  <si>
    <t>Password: abc12 (5 characters), confirmation the same</t>
  </si>
  <si>
    <t>hana</t>
  </si>
  <si>
    <t>Lecture slide 19 says developers tend to test to prove their code is right. So each sheet is tested by someone who did not build the backend part behind it.</t>
  </si>
  <si>
    <t>Error says the password is too short and shows the rules</t>
  </si>
  <si>
    <t>Hi Hana</t>
  </si>
  <si>
    <t>3 hours ago</t>
  </si>
  <si>
    <t>CP11: Password and confirmation do not match</t>
  </si>
  <si>
    <t>Alice2026</t>
  </si>
  <si>
    <t>Password: Mint2026, confirmation: Mint2027</t>
  </si>
  <si>
    <t>Alice</t>
  </si>
  <si>
    <t>Error says the two passwords do not match. Nothing saved</t>
  </si>
  <si>
    <t>Female</t>
  </si>
  <si>
    <t>Sheet</t>
  </si>
  <si>
    <t>Backend built by</t>
  </si>
  <si>
    <t>CP12: Password is stored as a hash (A2)</t>
  </si>
  <si>
    <t>Suggested tester</t>
  </si>
  <si>
    <t>After CP01, open the users table in PostgreSQL and look at mint_01</t>
  </si>
  <si>
    <t>Cases</t>
  </si>
  <si>
    <t>Password column holds an Argon2id hash (starts with $argon2id$), never Mint2026</t>
  </si>
  <si>
    <t>O4. Personal details are checked, including the minimum age (A3), and odd input is saved safely.</t>
  </si>
  <si>
    <t>1 Create Profile</t>
  </si>
  <si>
    <t>Seeded favorites and notes</t>
  </si>
  <si>
    <t>Chuan (Profile), Tae (Photo), Vic (Location)</t>
  </si>
  <si>
    <t>Tee</t>
  </si>
  <si>
    <t>CP01 to CP27</t>
  </si>
  <si>
    <t>CP13: Date of birth in the future</t>
  </si>
  <si>
    <t>DOB: 1 Jan 2030</t>
  </si>
  <si>
    <t>Owner</t>
  </si>
  <si>
    <t>Error names the date of birth field. Other sections are not affected</t>
  </si>
  <si>
    <t>2 Login Switch User</t>
  </si>
  <si>
    <t>Chuan (Auth)</t>
  </si>
  <si>
    <t>Kind</t>
  </si>
  <si>
    <t>Vic</t>
  </si>
  <si>
    <t>CP14: One day under the minimum age (A3)</t>
  </si>
  <si>
    <t>LG01 to LG11</t>
  </si>
  <si>
    <t>DOB: value in Test Users!B6 (turns 18 tomorrow)</t>
  </si>
  <si>
    <t>About</t>
  </si>
  <si>
    <t>Rejected. Error says the user must be at least 18</t>
  </si>
  <si>
    <t>3 Find Matches</t>
  </si>
  <si>
    <t>Tae (Match Engine), Vic (Match Service)</t>
  </si>
  <si>
    <t>Content</t>
  </si>
  <si>
    <t>Chuan</t>
  </si>
  <si>
    <t>CP15: Exactly the minimum age today (A3)</t>
  </si>
  <si>
    <t>FM01 to FM18</t>
  </si>
  <si>
    <t>DOB: value in Test Users!B5 (turns 18 today), new username teen_ok</t>
  </si>
  <si>
    <t>Accepted. Profile is created and age shows 18</t>
  </si>
  <si>
    <t>4 Chat List Conversation</t>
  </si>
  <si>
    <t>Favorite</t>
  </si>
  <si>
    <t>Vic (Messaging)</t>
  </si>
  <si>
    <t>CP16: Empty display name</t>
  </si>
  <si>
    <t>Tae</t>
  </si>
  <si>
    <t>Display name: (blank)</t>
  </si>
  <si>
    <t>CH01 to CH09</t>
  </si>
  <si>
    <t>Error names the display name field. Values in the other sections are kept</t>
  </si>
  <si>
    <t>5 Send Reply</t>
  </si>
  <si>
    <t>CP17: Location with no place name (A9, proposed)</t>
  </si>
  <si>
    <t>Set the emulator location to 12.5000, 100.9000 (Gulf of Thailand)</t>
  </si>
  <si>
    <t>Siam, Bangkok</t>
  </si>
  <si>
    <t>MS01 to MS14</t>
  </si>
  <si>
    <t>Note</t>
  </si>
  <si>
    <t>Male</t>
  </si>
  <si>
    <t>Profile is still saved. Place name is empty, the app does not crash</t>
  </si>
  <si>
    <t>6 Favorites</t>
  </si>
  <si>
    <t>Vic (Favorites and Notes)</t>
  </si>
  <si>
    <t>CP18: Injection text in display name</t>
  </si>
  <si>
    <t>Met at a cafe in Ari last month.</t>
  </si>
  <si>
    <t>Display name: ' OR '1'='1</t>
  </si>
  <si>
    <t>FV01 to FV07</t>
  </si>
  <si>
    <t>Saved and shown exactly as typed. No server error. The users table is not changed in any other way</t>
  </si>
  <si>
    <t>7 Notes</t>
  </si>
  <si>
    <t>Extra data for some cases</t>
  </si>
  <si>
    <t>O5. The profile photo must be a supported, square image of at most 1 MB (A5).</t>
  </si>
  <si>
    <t>NT01 to NT08</t>
  </si>
  <si>
    <t>Item</t>
  </si>
  <si>
    <t>8 System</t>
  </si>
  <si>
    <t>Whole team</t>
  </si>
  <si>
    <t>Used in</t>
  </si>
  <si>
    <t>CP19: Photo in an unsupported format (A5)</t>
  </si>
  <si>
    <t>Photo: anim.gif</t>
  </si>
  <si>
    <t>SY01 to SY11</t>
  </si>
  <si>
    <t>Error lists the supported formats (png, jpg, jpeg, webp). Nothing is stored in RustFS</t>
  </si>
  <si>
    <t>CP20: Photo larger than 1 MB (A5)</t>
  </si>
  <si>
    <t>Photo: square_big.jpg (1.2 MB)</t>
  </si>
  <si>
    <t>Assumptions to confirm before testing</t>
  </si>
  <si>
    <t>Rejected with a message about the size limit. Nothing stored</t>
  </si>
  <si>
    <t>CP21: Photo that is not square (A5)</t>
  </si>
  <si>
    <t>These rules are still marked proposed or open in docs/decisions.md. The test data uses the values below. If the owner decides a different value, update this table and the test data that points to it.</t>
  </si>
  <si>
    <t>Photo: wide_800x600.jpg</t>
  </si>
  <si>
    <t>Rejected with a message that the photo must be square</t>
  </si>
  <si>
    <t>ID</t>
  </si>
  <si>
    <t>CP22: Submit without a photo</t>
  </si>
  <si>
    <t>Assumption</t>
  </si>
  <si>
    <t>Fill all fields except the photo</t>
  </si>
  <si>
    <t>Submit is not possible. App says a profile photo is required</t>
  </si>
  <si>
    <t>Status</t>
  </si>
  <si>
    <t>O6. Cancel throws the form away only when the user confirms.</t>
  </si>
  <si>
    <t>A1</t>
  </si>
  <si>
    <t>Value</t>
  </si>
  <si>
    <t>Username: 4 to 20 characters, only letters, digits and underscore. Cannot change after creation.</t>
  </si>
  <si>
    <t>CP26: Cancel and confirm</t>
  </si>
  <si>
    <t>Fill the whole form with username cancel_me, tap Cancel, then confirm</t>
  </si>
  <si>
    <t>New user mint</t>
  </si>
  <si>
    <t>Open</t>
  </si>
  <si>
    <t>CP01, FM08</t>
  </si>
  <si>
    <t>System discards everything and returns to the main menu. Login as cancel_me fails. No photo is left in any part of the system</t>
  </si>
  <si>
    <t>A2</t>
  </si>
  <si>
    <t>Password: at least 8 characters with at least one letter and one digit. Stored as an Argon2id hash.</t>
  </si>
  <si>
    <t>CP27: Cancel but do not confirm</t>
  </si>
  <si>
    <t>A3</t>
  </si>
  <si>
    <t>Fill the form, tap Cancel, then choose not to discard</t>
  </si>
  <si>
    <t>Minimum permitted age is 18 (profile age and preference age).</t>
  </si>
  <si>
    <t>Form comes back with every value kept</t>
  </si>
  <si>
    <t>Team</t>
  </si>
  <si>
    <t>mint_01 / Mint2026 / Mint / Female / 15 Sep 1999 / 13.7300, 100.5300 / wants Male 24 to 32 within 30 km</t>
  </si>
  <si>
    <t>A4</t>
  </si>
  <si>
    <t>Gender list: Male, Female (plus any others the team adds). Target gender is one value in this data.</t>
  </si>
  <si>
    <t>60 message thread</t>
  </si>
  <si>
    <t>CH06</t>
  </si>
  <si>
    <t>A5</t>
  </si>
  <si>
    <t>Profile photo: png, jpg, jpeg or webp, at most 1 MB, must be square (1:1). New photo replaces the old one.</t>
  </si>
  <si>
    <t>Decided (Tae, 4 Oct)</t>
  </si>
  <si>
    <t>A6</t>
  </si>
  <si>
    <t>Seed script option: 60 messages between alice and dan, one minute apart</t>
  </si>
  <si>
    <t>Text message: 1 to 1000 characters after trimming spaces.</t>
  </si>
  <si>
    <t>Photo files</t>
  </si>
  <si>
    <t>A7</t>
  </si>
  <si>
    <t>Note: 1 to 500 characters after trimming spaces.</t>
  </si>
  <si>
    <t>CP19, CP20, CP21, CP22, CP03</t>
  </si>
  <si>
    <t>A8</t>
  </si>
  <si>
    <t>If the place name lookup fails or the point has no name, the profile is still saved with no place name.</t>
  </si>
  <si>
    <t>Proposed</t>
  </si>
  <si>
    <t>A9</t>
  </si>
  <si>
    <t>Sessions: short JWT access token plus long refresh token. Set the access token to 1 minute in the test environment for LG09.</t>
  </si>
  <si>
    <t>Decided (Tae)</t>
  </si>
  <si>
    <t>A10</t>
  </si>
  <si>
    <t>Matches are mutual: each user must fit the other user's gender, age range and radius.</t>
  </si>
  <si>
    <t>square_500.jpg (500x500, 0.3 MB), square_big.jpg (1500x1500, 1.2 MB), wide_800x600.jpg (0.2 MB), anim.gif (0.1 MB)</t>
  </si>
  <si>
    <t>Decided</t>
  </si>
  <si>
    <t>Main test user. Most cases log in as alice.</t>
  </si>
  <si>
    <t>Bob2026x</t>
  </si>
  <si>
    <t>Bob</t>
  </si>
  <si>
    <t>Silom, Bangkok</t>
  </si>
  <si>
    <t>Fits alice both ways. Expected match.</t>
  </si>
  <si>
    <t>Chai2026</t>
  </si>
  <si>
    <t>Chai</t>
  </si>
  <si>
    <t>Nonthaburi</t>
  </si>
  <si>
    <t>Fits alice both ways. Expected match, further away than bob. Alice's favorite.</t>
  </si>
  <si>
    <t>dan</t>
  </si>
  <si>
    <t>Dan2026x</t>
  </si>
  <si>
    <t>Dan</t>
  </si>
  <si>
    <t>Bangkok</t>
  </si>
  <si>
    <t>Too old for alice's age range.</t>
  </si>
  <si>
    <t>ekk</t>
  </si>
  <si>
    <t>Ekk2026x</t>
  </si>
  <si>
    <t>Ekk</t>
  </si>
  <si>
    <t>Chiang Mai</t>
  </si>
  <si>
    <t>Outside alice's 50 km radius.</t>
  </si>
  <si>
    <t>fah</t>
  </si>
  <si>
    <t>Fah2026x</t>
  </si>
  <si>
    <t>Fah</t>
  </si>
  <si>
    <t>Wrong gender for alice. Has no messages (empty home page).</t>
  </si>
  <si>
    <t>gun</t>
  </si>
  <si>
    <t>Gun2026x</t>
  </si>
  <si>
    <t>Gun</t>
  </si>
  <si>
    <t>Samut Prakan</t>
  </si>
  <si>
    <t>Alice likes gun, but alice is too old for gun. Tests the mutual rule.</t>
  </si>
  <si>
    <t>Hana2026</t>
  </si>
  <si>
    <t>Hana</t>
  </si>
  <si>
    <t>Outsider for privacy checks.</t>
  </si>
  <si>
    <t>joe</t>
  </si>
  <si>
    <t>Joe2026x</t>
  </si>
  <si>
    <t>Joe</t>
  </si>
  <si>
    <t>Ayutthaya</t>
  </si>
  <si>
    <t>Nobody fits joe. Tests the No matches message.</t>
  </si>
  <si>
    <t>Distance uses the haversine formula on a sphere of radius 6371 km, the same as the Location Service. The app shows it rounded to a whole km. Column O applies the mutual rule (A11).</t>
  </si>
  <si>
    <t>2. Login / Switch User</t>
  </si>
  <si>
    <t>Login/Switch User (Must Have)</t>
  </si>
  <si>
    <t>Seed data loaded. App is on the landing page with no user logged in.</t>
  </si>
  <si>
    <t>O1. A registered user can log in and sees unread messages with the sender and the time sent.</t>
  </si>
  <si>
    <t>LG01: Valid login with unread messages</t>
  </si>
  <si>
    <t>Username alice, password Alice2026</t>
  </si>
  <si>
    <t>Home page opens. Unread list shows M2, M3 and M4 from Bob with the time each was sent. M1 (already read) is not in the list</t>
  </si>
  <si>
    <t>LG02: Login with no unread messages</t>
  </si>
  <si>
    <t>fah / Fah2026x</t>
  </si>
  <si>
    <t>Home page shows a friendly message that there are no new messages</t>
  </si>
  <si>
    <t>LG03: Unread list updates after reading</t>
  </si>
  <si>
    <t>1) Log in as alice
2) Open the conversation with Bob
3) Log out and log in again as alice</t>
  </si>
  <si>
    <t>After step 3 the unread list is empty. M2 to M4 now show as read</t>
  </si>
  <si>
    <t>LG04: Time sent is shown in local time</t>
  </si>
  <si>
    <t>As bob, send a message to alice at a known time, for example 14:05 Bangkok time. Log in as alice</t>
  </si>
  <si>
    <t>Unread list shows 14:05. API field is UTC ISO 8601, for example 2026-10-20T07:05:00Z</t>
  </si>
  <si>
    <t>O2. Wrong or missing login details are rejected without saying which part is wrong.</t>
  </si>
  <si>
    <t>LG05: Wrong password</t>
  </si>
  <si>
    <t>alice / wrongpass1</t>
  </si>
  <si>
    <t>Message says the username or password is wrong. API returns 401 INVALID_CREDENTIALS. No token is given</t>
  </si>
  <si>
    <t>LG06: Unknown username</t>
  </si>
  <si>
    <t>nobody_here / Alice2026</t>
  </si>
  <si>
    <t>Exactly the same message and status as LG05, so the app does not show whether the username exists</t>
  </si>
  <si>
    <t>LG07: Empty fields</t>
  </si>
  <si>
    <t>Username and password left blank, tap Login</t>
  </si>
  <si>
    <t>App asks for both fields and sends no request</t>
  </si>
  <si>
    <t>O3. Sessions keep the user logged in safely, and switching user shows only the new user's data (A10).</t>
  </si>
  <si>
    <t>LG08: Switch user</t>
  </si>
  <si>
    <t>1) Log in as alice
2) Log out
3) Log in as bob
4) Press the phone back button</t>
  </si>
  <si>
    <t>Bob sees only his own chats and notes. Back button does not show any of alice's screens</t>
  </si>
  <si>
    <t>LG09: Access token expires (A10)</t>
  </si>
  <si>
    <t>Access token lifetime set to 1 minute. Log in as alice, wait 2 minutes, open the chat list</t>
  </si>
  <si>
    <t>App gets a new access token with the refresh token and the chat list loads. User is not sent back to login</t>
  </si>
  <si>
    <t>LG10: Logout ends the session</t>
  </si>
  <si>
    <t>Log in as alice, copy the refresh token from the app logs or Postman, log out, then call the refresh endpoint with the old token</t>
  </si>
  <si>
    <t>API returns 401. The old refresh token cannot be used again</t>
  </si>
  <si>
    <t>LG11: Call a protected endpoint without a token</t>
  </si>
  <si>
    <t>GET /api/v1/conversations with no Authorization header, then with a made up token</t>
  </si>
  <si>
    <t>Both return 401 UNAUTHENTICATED in the standard error shape</t>
  </si>
  <si>
    <t>3. Find Matches</t>
  </si>
  <si>
    <t>Find Matches (Must Have): view recommended matches and search by specification</t>
  </si>
  <si>
    <t>Seed data loaded. Logged in as alice unless the case says otherwise. Match Engine is running.</t>
  </si>
  <si>
    <t>O1. Recommended matches include only candidates who fit both ways, ranked by match score (A11).</t>
  </si>
  <si>
    <t>FM01: Recommended matches for alice</t>
  </si>
  <si>
    <t>Tap Find Matches, then View recommended matches</t>
  </si>
  <si>
    <t>List shows exactly bob and chai (Test Users sheet, column O = Yes). Each row shows photo, display name, username, age, gender, distance in whole km (bob about 3 km, chai about 13 km) and a match score from 0 to 100</t>
  </si>
  <si>
    <t>FM02: Candidate outside the age range is hidden</t>
  </si>
  <si>
    <t>Same list as FM01</t>
  </si>
  <si>
    <t>dan (age over 32) is not in the list</t>
  </si>
  <si>
    <t>FM03: Candidate outside the radius is hidden</t>
  </si>
  <si>
    <t>ekk (Chiang Mai, about 585 km) is not in the list</t>
  </si>
  <si>
    <t>FM04: Candidate of the wrong gender is hidden</t>
  </si>
  <si>
    <t>fah and hana are not in the list</t>
  </si>
  <si>
    <t>FM05: Mutual rule (A11)</t>
  </si>
  <si>
    <t>gun is not in the list, because alice is older than gun's maximum age (26), even though gun fits alice</t>
  </si>
  <si>
    <t>FM06: User never sees themself</t>
  </si>
  <si>
    <t>alice does not appear in her own results</t>
  </si>
  <si>
    <t>FM07: Ranking order</t>
  </si>
  <si>
    <t>Scores go from highest to lowest. No user appears twice</t>
  </si>
  <si>
    <t>FM08: A new profile becomes a candidate</t>
  </si>
  <si>
    <t>After CP01 (mint_01 created), log in as bob and view recommended matches</t>
  </si>
  <si>
    <t>mint_01 appears in bob's list with distance about 0 km (shown as 0 or 1)</t>
  </si>
  <si>
    <t>O2. A candidate's profile shows the right details, hides private data and leads to Send Message.</t>
  </si>
  <si>
    <t>4. View Chat List and View Conversation</t>
  </si>
  <si>
    <t>FM09: View a candidate's profile</t>
  </si>
  <si>
    <t>View Chat List (Must Have), View Conversation (Must Have)</t>
  </si>
  <si>
    <t>Tap bob in the list</t>
  </si>
  <si>
    <t>Shows photo, display name, age, gender, place name and match score. Date of birth and exact latitude and longitude are not shown in the app or in the API response</t>
  </si>
  <si>
    <t>FM10: Send a message from a candidate profile</t>
  </si>
  <si>
    <t>On bob's profile tap Send Message</t>
  </si>
  <si>
    <t>Seed data loaded (Seed Data sheet: messages M1 to M6, alice's favorite chai). Logged in as alice.</t>
  </si>
  <si>
    <t>Conversation with bob opens. Alice does not need to type bob's username</t>
  </si>
  <si>
    <t>O3. Search by specification returns only members who meet the entered values.</t>
  </si>
  <si>
    <t>FM11: Search by specification</t>
  </si>
  <si>
    <t>Search: age 25 to 26, gender Male, max distance 20 km</t>
  </si>
  <si>
    <t>Only chai is returned</t>
  </si>
  <si>
    <t>FM12: Search with empty fields uses own preferences</t>
  </si>
  <si>
    <t>O1. The chat list shows one row per person with the last message, its time and the unread count, with favorites on top.</t>
  </si>
  <si>
    <t>Open search and submit without changing anything</t>
  </si>
  <si>
    <t>Fields default to alice's preferences (Male, 24 to 32, 50 km). Result is bob and chai</t>
  </si>
  <si>
    <t>O4. Invalid search values are rejected with a clear message.</t>
  </si>
  <si>
    <t>CH01: Chat list content</t>
  </si>
  <si>
    <t>Open the chat list</t>
  </si>
  <si>
    <t>One row each for chai, bob and hana. Each row shows photo, display name, last message text, its time and the unread count (bob 3, chai 0, hana 0)</t>
  </si>
  <si>
    <t>FM13: Search with min age greater than max age</t>
  </si>
  <si>
    <t>Search: age 30 to 25</t>
  </si>
  <si>
    <t>CH02: Favorites are on top</t>
  </si>
  <si>
    <t>Error names the age range. Values stay in the form. API returns 400</t>
  </si>
  <si>
    <t>Same list as CH01</t>
  </si>
  <si>
    <t>chai is first because she is a favorite, even though bob's last message is newer</t>
  </si>
  <si>
    <t>CH03: Other chats sorted by newest message</t>
  </si>
  <si>
    <t>FM14: Search with radius that is not a number</t>
  </si>
  <si>
    <t>bob (40 minutes ago) comes before hana (3 hours ago)</t>
  </si>
  <si>
    <t>Search: max distance ten</t>
  </si>
  <si>
    <t>Error names the distance field</t>
  </si>
  <si>
    <t>CH04: Empty chat list</t>
  </si>
  <si>
    <t>Log in as fah, open the chat list</t>
  </si>
  <si>
    <t>FM15: Search with age below 18 (A3)</t>
  </si>
  <si>
    <t>Friendly message that there are no chats yet, no error</t>
  </si>
  <si>
    <t>Search: age 15 to 30</t>
  </si>
  <si>
    <t>O2. A conversation shows every message in order and marks the messages as read.</t>
  </si>
  <si>
    <t>Error says the minimum age is 18</t>
  </si>
  <si>
    <t>O5. The user gets a clear message when there are no matches or the Match Engine is down.</t>
  </si>
  <si>
    <t>CH05: Open a conversation</t>
  </si>
  <si>
    <t>Tap bob</t>
  </si>
  <si>
    <t>Messages M2, M3, M4 shown in time order with the sender and time of each. Bob's unread count becomes 0 in the chat list and on the home page</t>
  </si>
  <si>
    <t>CH06: Load older messages</t>
  </si>
  <si>
    <t>Seed the 60 message thread with dan. Open it and scroll up until all are loaded</t>
  </si>
  <si>
    <t>FM16: No matches found</t>
  </si>
  <si>
    <t>Older messages load page by page. All 60 messages appear once, none missing and none repeated</t>
  </si>
  <si>
    <t>Log in as joe, view recommended matches</t>
  </si>
  <si>
    <t>CH07: Mark as read without opening</t>
  </si>
  <si>
    <t>Message suggests widening the age range or radius, and the user goes back to the Find Matches menu</t>
  </si>
  <si>
    <t>PATCH /api/v1/conversations/{bob's id} with {"isRead": true}</t>
  </si>
  <si>
    <t>Unread count for bob is 0 in the chat list and the home page</t>
  </si>
  <si>
    <t>FM17: Match Engine is down</t>
  </si>
  <si>
    <t>O3. A user can only open their own conversations.</t>
  </si>
  <si>
    <t>Stop the Match Engine container, then view recommended matches</t>
  </si>
  <si>
    <t>App shows a friendly error and does not crash.</t>
  </si>
  <si>
    <t>CH08: Conversation with a user who does not exist</t>
  </si>
  <si>
    <t>GET /api/v1/conversations/99999/messages</t>
  </si>
  <si>
    <t>API returns 404 in the standard error shape</t>
  </si>
  <si>
    <t>CH09: Cannot read other people's chats</t>
  </si>
  <si>
    <t>Log in as hana. GET /api/v1/conversations/{bob's id}/messages</t>
  </si>
  <si>
    <t>Returns only messages between hana and bob (none). M2 to M5 never appear</t>
  </si>
  <si>
    <t>5. Send Message and Reply to Message</t>
  </si>
  <si>
    <t>Send Message (Must Have), Reply to Message (Must Have)</t>
  </si>
  <si>
    <t>Seed data loaded. Logged in as alice.</t>
  </si>
  <si>
    <t>O1. A user can send a valid text message, and the receiver sees it with a server time stamp.</t>
  </si>
  <si>
    <t>MS01: Send a text message</t>
  </si>
  <si>
    <t>1) Open the conversation with bob, send: Hi Bob, coffee this weekend?
2) Log out, log in as bob</t>
  </si>
  <si>
    <t>1) Message appears at the bottom with a time stamp
2) Bob's unread list shows the message from Alice with the time sent</t>
  </si>
  <si>
    <t>MS02: Thai text and emoji</t>
  </si>
  <si>
    <t>Send: สวัสดีค่ะ 😊</t>
  </si>
  <si>
    <t>Message is saved and shown exactly as typed, for alice and for bob</t>
  </si>
  <si>
    <t>MS04: Two users send at the same time</t>
  </si>
  <si>
    <t>Alice and bob each send a message to the other within the same second</t>
  </si>
  <si>
    <t>Both messages are saved and shown in the same order on both phones. No message is lost</t>
  </si>
  <si>
    <t>O2. Invalid messages are rejected and nothing is saved (A7).</t>
  </si>
  <si>
    <t>MS05: Empty message</t>
  </si>
  <si>
    <t>Send an empty message, then one with only spaces</t>
  </si>
  <si>
    <t>Both are rejected (400). Nothing is saved or shown</t>
  </si>
  <si>
    <t>MS06: Message length limit (A7)</t>
  </si>
  <si>
    <t>Send a message of exactly 1000 characters, then one of 1001 characters</t>
  </si>
  <si>
    <t>1000 characters is sent in full. 1001 characters is rejected with a message about the limit</t>
  </si>
  <si>
    <t>O3. A user can reply to a specific message without typing the receiver, but only in their own conversations.</t>
  </si>
  <si>
    <t>MS09: Reply to a message</t>
  </si>
  <si>
    <t>In the conversation with bob, select M3 and reply: Yes, Saturday works</t>
  </si>
  <si>
    <t>Reply goes to bob without typing his username. It shows which message it answers (M3). Bob sees it as unread</t>
  </si>
  <si>
    <t>6. Add Favorite</t>
  </si>
  <si>
    <t>Add Favorite (Nice to Have)</t>
  </si>
  <si>
    <t>Seed data loaded. Logged in as alice (chai is already a favorite).</t>
  </si>
  <si>
    <t>O1. A user can add and remove favorites, and favorites are pinned at the top of the chat list.</t>
  </si>
  <si>
    <t>7. Record Small Notes and View Notes</t>
  </si>
  <si>
    <t>FV01: Add a favorite</t>
  </si>
  <si>
    <t>Open bob's profile, tap Add Favorite</t>
  </si>
  <si>
    <t>Confirmation shown. bob joins chai at the top of the chat list</t>
  </si>
  <si>
    <t>FV02: Add the same favorite twice</t>
  </si>
  <si>
    <t>Tap Add Favorite on bob again</t>
  </si>
  <si>
    <t>Record Small Notes (Nice to Have), View Notes (Nice to Have)</t>
  </si>
  <si>
    <t>No error and no duplicate.</t>
  </si>
  <si>
    <t>FV03: Remove a favorite</t>
  </si>
  <si>
    <t>Remove chai from favorites</t>
  </si>
  <si>
    <t>chai moves down to her normal place by message time</t>
  </si>
  <si>
    <t>FV04: View favorites list</t>
  </si>
  <si>
    <t>Open the favorites list after FV01</t>
  </si>
  <si>
    <t>Shows bob and chai with photo and display name</t>
  </si>
  <si>
    <t>O1. A user can record time stamped notes about another user and read them later.</t>
  </si>
  <si>
    <t>NT01: Record a note</t>
  </si>
  <si>
    <t>On bob's profile or chat, add note: Met at Siam Paragon, likes jazz</t>
  </si>
  <si>
    <t>Note is saved with a server time stamp and shown in bob's notes</t>
  </si>
  <si>
    <t>NT02: Several notes are listed in order</t>
  </si>
  <si>
    <t>Add two more notes about bob, then open View Notes for bob</t>
  </si>
  <si>
    <t>All three notes show with their own time stamps, newest first</t>
  </si>
  <si>
    <t>NT03: View notes when there are none</t>
  </si>
  <si>
    <t>Open View Notes for dan</t>
  </si>
  <si>
    <t>Friendly message that there are no notes yet</t>
  </si>
  <si>
    <t>NT04: Seeded note shows correctly</t>
  </si>
  <si>
    <t>Open View Notes for chai</t>
  </si>
  <si>
    <t>Shows the seeded note about the cafe in Ari with its time stamp</t>
  </si>
  <si>
    <t>O2. Invalid notes are rejected (A8).</t>
  </si>
  <si>
    <t>NT05: Empty note</t>
  </si>
  <si>
    <t>Save an empty note, then one with only spaces</t>
  </si>
  <si>
    <t>Both rejected. Nothing saved</t>
  </si>
  <si>
    <t>NT06: Note length limit (A8)</t>
  </si>
  <si>
    <t>Save a note of exactly 500 characters, then one of 501</t>
  </si>
  <si>
    <t>500 characters saved in full. 501 rejected with a message about the limit</t>
  </si>
  <si>
    <t>NT07: Note about a user who does not exist</t>
  </si>
  <si>
    <t>POST /api/v1/users/99999/notes</t>
  </si>
  <si>
    <t>API returns 404</t>
  </si>
  <si>
    <t>O3. Notes are private to the person who wrote them.</t>
  </si>
  <si>
    <t>NT08: Notes are private</t>
  </si>
  <si>
    <t>Log in as bob. Open alice's profile and call GET /api/v1/users/{alice's id}/notes</t>
  </si>
  <si>
    <t>Bob sees only his own notes about alice (none). Alice's notes about bob never appear</t>
  </si>
  <si>
    <t>8. System Wide Checks</t>
  </si>
  <si>
    <t>All use cases</t>
  </si>
  <si>
    <t>Full stack running from docker compose. Seed data loaded.</t>
  </si>
  <si>
    <t>O1. All parts work together for a full user journey, and data stays after a restart.</t>
  </si>
  <si>
    <t>SY01: Full journey with two new users</t>
  </si>
  <si>
    <t>1) Create two new profiles that fit each other
2) User 1 finds user 2 in recommended matches and sends a message
3) User 2 logs in, sees it as unread and replies
4) User 1 adds user 2 as a favorite and writes a note
5) Log out and log in again as each user</t>
  </si>
  <si>
    <t>Every step works with no error. After step 5 all messages, the favorite and the note are still there and correct</t>
  </si>
  <si>
    <t>SY02: Data survives a restart</t>
  </si>
  <si>
    <t>After SY01, run docker compose restart for the backend and database, then log in again</t>
  </si>
  <si>
    <t>All profiles, messages, favorites and notes are unchanged</t>
  </si>
  <si>
    <t>SY03: Health check</t>
  </si>
  <si>
    <t>Perform health check by api (GET */health) on the backend and on the Match Engine</t>
  </si>
  <si>
    <t>Both return 200 with status ok</t>
  </si>
  <si>
    <t>O2. Time stamps are stored in UTC and shown in Bangkok time.</t>
  </si>
  <si>
    <t>SY04: Time stamps</t>
  </si>
  <si>
    <t>Check message and note times in the API and the app</t>
  </si>
  <si>
    <t>API uses UTC ISO 8601 (ending in Z). App shows Bangkok time (UTC+7)</t>
  </si>
  <si>
    <t>O3. The system still works when an outside service fails.</t>
  </si>
  <si>
    <t>SY05: Nominatim not reachable (A9)</t>
  </si>
  <si>
    <t>Set NOMINATIM_URL to a wrong address, restart the backend, then create a profile</t>
  </si>
  <si>
    <t>Profile is still created with an empty place name. Backend log shows the lookup error. No 500 to the app</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</si>
</sst>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 mmm\ yyyy"/>
    <numFmt numFmtId="165" formatCode="0.0000"/>
    <numFmt numFmtId="166" formatCode="0.0"/>
  </numFmts>
  <fonts count="7">
    <font>
      <sz val="11.0"/>
      <color theme="1"/>
      <name val="Calibri"/>
      <scheme val="minor"/>
    </font>
    <font>
      <b/>
      <sz val="14.0"/>
      <color theme="1"/>
      <name val="Arial"/>
    </font>
    <font>
      <i/>
      <sz val="9.0"/>
      <color rgb="FF555555"/>
      <name val="Arial"/>
    </font>
    <font>
      <b/>
      <sz val="10.0"/>
      <color theme="1"/>
      <name val="Arial"/>
    </font>
    <font>
      <b/>
      <sz val="11.0"/>
      <color theme="1"/>
      <name val="Arial"/>
    </font>
    <font>
      <sz val="10.0"/>
      <color theme="1"/>
      <name val="Arial"/>
    </font>
    <font/>
  </fonts>
  <fills count="5">
    <fill>
      <patternFill patternType="none"/>
    </fill>
    <fill>
      <patternFill patternType="lightGray"/>
    </fill>
    <fill>
      <patternFill patternType="solid">
        <fgColor rgb="FFF2F2F2"/>
        <bgColor rgb="FFF2F2F2"/>
      </patternFill>
    </fill>
    <fill>
      <patternFill patternType="solid">
        <fgColor rgb="FFFFF2CC"/>
        <bgColor rgb="FFFFF2CC"/>
      </patternFill>
    </fill>
    <fill>
      <patternFill patternType="solid">
        <fgColor rgb="FFD9D9D9"/>
        <bgColor rgb="FFD9D9D9"/>
      </patternFill>
    </fill>
  </fills>
  <borders count="8">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top style="thin">
        <color rgb="FF999999"/>
      </top>
      <bottom style="thin">
        <color rgb="FF999999"/>
      </bottom>
    </border>
    <border>
      <left style="thin">
        <color rgb="FF999999"/>
      </left>
      <right style="thin">
        <color rgb="FF999999"/>
      </right>
      <top style="thin">
        <color rgb="FF999999"/>
      </top>
    </border>
    <border>
      <left style="thin">
        <color rgb="FF999999"/>
      </left>
      <right style="thin">
        <color rgb="FF999999"/>
      </right>
    </border>
    <border>
      <left style="thin">
        <color rgb="FF999999"/>
      </left>
      <right style="thin">
        <color rgb="FF999999"/>
      </right>
      <bottom style="thin">
        <color rgb="FF999999"/>
      </bottom>
    </border>
    <border>
      <right style="thin">
        <color rgb="FF999999"/>
      </right>
      <top style="thin">
        <color rgb="FF999999"/>
      </top>
      <bottom style="thin">
        <color rgb="FF999999"/>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shrinkToFit="0" vertical="top" wrapText="0"/>
    </xf>
    <xf borderId="0" fillId="0" fontId="1" numFmtId="0" xfId="0" applyAlignment="1" applyFont="1">
      <alignment shrinkToFit="0" vertical="center" wrapText="0"/>
    </xf>
    <xf borderId="0" fillId="0" fontId="2" numFmtId="0" xfId="0" applyAlignment="1" applyFont="1">
      <alignment shrinkToFit="0" vertical="top" wrapText="0"/>
    </xf>
    <xf borderId="1" fillId="2" fontId="3" numFmtId="0" xfId="0" applyAlignment="1" applyBorder="1" applyFill="1" applyFont="1">
      <alignment shrinkToFit="0" vertical="top" wrapText="1"/>
    </xf>
    <xf borderId="0" fillId="0" fontId="4" numFmtId="0" xfId="0" applyAlignment="1" applyFont="1">
      <alignment shrinkToFit="0" vertical="top" wrapText="0"/>
    </xf>
    <xf borderId="2" fillId="0" fontId="5" numFmtId="0" xfId="0" applyAlignment="1" applyBorder="1" applyFont="1">
      <alignment shrinkToFit="0" vertical="top" wrapText="1"/>
    </xf>
    <xf borderId="3" fillId="0" fontId="6" numFmtId="0" xfId="0" applyBorder="1" applyFont="1"/>
    <xf borderId="1" fillId="3" fontId="5" numFmtId="164" xfId="0" applyAlignment="1" applyBorder="1" applyFill="1" applyFont="1" applyNumberFormat="1">
      <alignment shrinkToFit="0" vertical="top" wrapText="1"/>
    </xf>
    <xf borderId="1" fillId="4" fontId="3" numFmtId="0" xfId="0" applyAlignment="1" applyBorder="1" applyFill="1" applyFont="1">
      <alignment shrinkToFit="0" vertical="top" wrapText="1"/>
    </xf>
    <xf borderId="4" fillId="0" fontId="3" numFmtId="0" xfId="0" applyAlignment="1" applyBorder="1" applyFont="1">
      <alignment shrinkToFit="0" vertical="top" wrapText="1"/>
    </xf>
    <xf borderId="1" fillId="0" fontId="5" numFmtId="0" xfId="0" applyAlignment="1" applyBorder="1" applyFont="1">
      <alignment shrinkToFit="0" vertical="top" wrapText="1"/>
    </xf>
    <xf borderId="5" fillId="0" fontId="6" numFmtId="0" xfId="0" applyBorder="1" applyFont="1"/>
    <xf borderId="1" fillId="0" fontId="5" numFmtId="164" xfId="0" applyAlignment="1" applyBorder="1" applyFont="1" applyNumberFormat="1">
      <alignment shrinkToFit="0" vertical="top" wrapText="1"/>
    </xf>
    <xf borderId="6" fillId="0" fontId="6" numFmtId="0" xfId="0" applyBorder="1" applyFont="1"/>
    <xf borderId="0" fillId="0" fontId="2" numFmtId="0" xfId="0" applyAlignment="1" applyFont="1">
      <alignment shrinkToFit="0" vertical="top" wrapText="1"/>
    </xf>
    <xf borderId="1" fillId="0" fontId="5" numFmtId="165" xfId="0" applyAlignment="1" applyBorder="1" applyFont="1" applyNumberFormat="1">
      <alignment shrinkToFit="0" vertical="top" wrapText="1"/>
    </xf>
    <xf borderId="4" fillId="0" fontId="3" numFmtId="0" xfId="0" applyAlignment="1" applyBorder="1" applyFont="1">
      <alignment readingOrder="0" shrinkToFit="0" vertical="top" wrapText="1"/>
    </xf>
    <xf borderId="2" fillId="4" fontId="3" numFmtId="0" xfId="0" applyAlignment="1" applyBorder="1" applyFill="1" applyFont="1">
      <alignment shrinkToFit="0" vertical="top" wrapText="1"/>
    </xf>
    <xf borderId="7" fillId="0" fontId="6" numFmtId="0" xfId="0" applyBorder="1" applyFont="1"/>
    <xf borderId="1" fillId="3" fontId="5" numFmtId="0" xfId="0" applyAlignment="1" applyBorder="1" applyFill="1" applyFont="1">
      <alignment shrinkToFit="0" vertical="top" wrapText="1"/>
    </xf>
    <xf borderId="1" fillId="0" fontId="5" numFmtId="0" xfId="0" applyAlignment="1" applyBorder="1" applyFont="1">
      <alignment readingOrder="0" shrinkToFit="0" vertical="top" wrapText="1"/>
    </xf>
    <xf borderId="1" fillId="0" fontId="5" numFmtId="166" xfId="0" applyAlignment="1" applyBorder="1" applyFont="1" applyNumberFormat="1">
      <alignment shrinkToFit="0" vertical="top" wrapText="1"/>
    </xf>
    <xf borderId="2" fillId="0" fontId="5" numFmtId="0" xfId="0" applyAlignment="1" applyBorder="1" applyFont="1">
      <alignment readingOrder="0" shrinkToFit="0" vertical="top" wrapText="1"/>
    </xf>
    <xf borderId="1" fillId="0" fontId="3" numFmtId="0" xfId="0" applyAlignment="1" applyBorder="1" applyFont="1">
      <alignment shrinkToFit="0" vertical="top" wrapText="1"/>
    </xf>
    <xf borderId="1" fillId="0" fontId="3" numFmtId="0" xfId="0" applyAlignment="1" applyBorder="1" applyFont="1">
      <alignment readingOrder="0"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0.xml"/><Relationship Id="rId3"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6.0"/>
    <col customWidth="1" min="2" max="2" width="60.0"/>
    <col customWidth="1" min="3" max="4" width="22.0"/>
    <col customWidth="1" min="5" max="26" width="8.71"/>
  </cols>
  <sheetData>
    <row r="1">
      <c r="A1" s="2" t="s">
        <v>1</v>
      </c>
    </row>
    <row r="2">
      <c r="A2" s="3" t="s">
        <v>5</v>
      </c>
    </row>
    <row r="4" ht="45.0" customHeight="1">
      <c r="A4" s="4" t="s">
        <v>8</v>
      </c>
      <c r="B4" s="6" t="s">
        <v>11</v>
      </c>
      <c r="C4" s="7"/>
      <c r="D4" s="7"/>
    </row>
    <row r="5" ht="45.0" customHeight="1">
      <c r="A5" s="4" t="s">
        <v>13</v>
      </c>
      <c r="B5" s="6" t="s">
        <v>16</v>
      </c>
      <c r="C5" s="7"/>
      <c r="D5" s="7"/>
    </row>
    <row r="6" ht="60.0" customHeight="1">
      <c r="A6" s="4" t="s">
        <v>18</v>
      </c>
      <c r="B6" s="6" t="s">
        <v>20</v>
      </c>
      <c r="C6" s="7"/>
      <c r="D6" s="7"/>
    </row>
    <row r="7" ht="30.0" customHeight="1">
      <c r="A7" s="4" t="s">
        <v>23</v>
      </c>
      <c r="B7" s="6" t="s">
        <v>25</v>
      </c>
      <c r="C7" s="7"/>
      <c r="D7" s="7"/>
    </row>
    <row r="8" ht="45.0" customHeight="1">
      <c r="A8" s="4" t="s">
        <v>31</v>
      </c>
      <c r="B8" s="6" t="s">
        <v>34</v>
      </c>
      <c r="C8" s="7"/>
      <c r="D8" s="7"/>
    </row>
    <row r="9" ht="45.0" customHeight="1">
      <c r="A9" s="4" t="s">
        <v>36</v>
      </c>
      <c r="B9" s="6" t="s">
        <v>37</v>
      </c>
      <c r="C9" s="7"/>
      <c r="D9" s="7"/>
    </row>
    <row r="10" ht="30.0" customHeight="1">
      <c r="A10" s="4" t="s">
        <v>41</v>
      </c>
      <c r="B10" s="6" t="s">
        <v>43</v>
      </c>
      <c r="C10" s="7"/>
      <c r="D10" s="7"/>
    </row>
    <row r="11" ht="60.0" customHeight="1">
      <c r="A11" s="4" t="s">
        <v>48</v>
      </c>
      <c r="B11" s="6" t="s">
        <v>50</v>
      </c>
      <c r="C11" s="7"/>
      <c r="D11" s="7"/>
    </row>
    <row r="13">
      <c r="A13" s="5" t="s">
        <v>60</v>
      </c>
    </row>
    <row r="14" ht="30.0" customHeight="1">
      <c r="A14" s="4" t="s">
        <v>19</v>
      </c>
      <c r="B14" s="6" t="s">
        <v>66</v>
      </c>
      <c r="C14" s="7"/>
      <c r="D14" s="7"/>
    </row>
    <row r="15" ht="30.0" customHeight="1">
      <c r="A15" s="4" t="s">
        <v>24</v>
      </c>
      <c r="B15" s="6" t="s">
        <v>72</v>
      </c>
      <c r="C15" s="7"/>
      <c r="D15" s="7"/>
    </row>
    <row r="16" ht="30.0" customHeight="1">
      <c r="A16" s="4" t="s">
        <v>27</v>
      </c>
      <c r="B16" s="6" t="s">
        <v>83</v>
      </c>
      <c r="C16" s="7"/>
      <c r="D16" s="7"/>
    </row>
    <row r="17" ht="30.0" customHeight="1">
      <c r="A17" s="4" t="s">
        <v>28</v>
      </c>
      <c r="B17" s="6" t="s">
        <v>93</v>
      </c>
      <c r="C17" s="7"/>
      <c r="D17" s="7"/>
    </row>
    <row r="18" ht="30.0" customHeight="1">
      <c r="A18" s="4" t="s">
        <v>101</v>
      </c>
      <c r="B18" s="6" t="s">
        <v>103</v>
      </c>
      <c r="C18" s="7"/>
      <c r="D18" s="7"/>
    </row>
    <row r="20">
      <c r="A20" s="5" t="s">
        <v>115</v>
      </c>
    </row>
    <row r="21" ht="25.5" customHeight="1">
      <c r="A21" s="15" t="s">
        <v>121</v>
      </c>
    </row>
    <row r="22" ht="18.0" customHeight="1">
      <c r="A22" s="9" t="s">
        <v>131</v>
      </c>
      <c r="B22" s="9" t="s">
        <v>132</v>
      </c>
      <c r="C22" s="9" t="s">
        <v>134</v>
      </c>
      <c r="D22" s="9" t="s">
        <v>136</v>
      </c>
    </row>
    <row r="23" ht="18.0" customHeight="1">
      <c r="A23" s="11" t="s">
        <v>139</v>
      </c>
      <c r="B23" s="11" t="s">
        <v>141</v>
      </c>
      <c r="C23" s="11" t="s">
        <v>142</v>
      </c>
      <c r="D23" s="11" t="s">
        <v>143</v>
      </c>
    </row>
    <row r="24" ht="18.0" customHeight="1">
      <c r="A24" s="11" t="s">
        <v>148</v>
      </c>
      <c r="B24" s="11" t="s">
        <v>149</v>
      </c>
      <c r="C24" s="11" t="s">
        <v>151</v>
      </c>
      <c r="D24" s="11" t="s">
        <v>153</v>
      </c>
    </row>
    <row r="25" ht="18.0" customHeight="1">
      <c r="A25" s="11" t="s">
        <v>157</v>
      </c>
      <c r="B25" s="11" t="s">
        <v>158</v>
      </c>
      <c r="C25" s="11" t="s">
        <v>160</v>
      </c>
      <c r="D25" s="11" t="s">
        <v>162</v>
      </c>
    </row>
    <row r="26" ht="18.0" customHeight="1">
      <c r="A26" s="11" t="s">
        <v>165</v>
      </c>
      <c r="B26" s="11" t="s">
        <v>167</v>
      </c>
      <c r="C26" s="11" t="s">
        <v>169</v>
      </c>
      <c r="D26" s="11" t="s">
        <v>171</v>
      </c>
    </row>
    <row r="27" ht="18.0" customHeight="1">
      <c r="A27" s="11" t="s">
        <v>173</v>
      </c>
      <c r="B27" s="11" t="s">
        <v>167</v>
      </c>
      <c r="C27" s="11" t="s">
        <v>160</v>
      </c>
      <c r="D27" s="11" t="s">
        <v>177</v>
      </c>
    </row>
    <row r="28" ht="18.0" customHeight="1">
      <c r="A28" s="11" t="s">
        <v>181</v>
      </c>
      <c r="B28" s="11" t="s">
        <v>182</v>
      </c>
      <c r="C28" s="11" t="s">
        <v>169</v>
      </c>
      <c r="D28" s="11" t="s">
        <v>186</v>
      </c>
    </row>
    <row r="29" ht="18.0" customHeight="1">
      <c r="A29" s="11" t="s">
        <v>188</v>
      </c>
      <c r="B29" s="11" t="s">
        <v>182</v>
      </c>
      <c r="C29" s="11" t="s">
        <v>160</v>
      </c>
      <c r="D29" s="11" t="s">
        <v>191</v>
      </c>
    </row>
    <row r="30" ht="18.0" customHeight="1">
      <c r="A30" s="11" t="s">
        <v>193</v>
      </c>
      <c r="B30" s="11" t="s">
        <v>194</v>
      </c>
      <c r="C30" s="11" t="s">
        <v>194</v>
      </c>
      <c r="D30" s="11" t="s">
        <v>198</v>
      </c>
    </row>
    <row r="31" ht="15.75" customHeight="1"/>
    <row r="32" ht="15.75" customHeight="1">
      <c r="A32" s="5" t="s">
        <v>202</v>
      </c>
    </row>
    <row r="33" ht="25.5" customHeight="1">
      <c r="A33" s="15" t="s">
        <v>205</v>
      </c>
    </row>
    <row r="34" ht="15.75" customHeight="1">
      <c r="A34" s="9" t="s">
        <v>208</v>
      </c>
      <c r="B34" s="9" t="s">
        <v>210</v>
      </c>
      <c r="C34" s="9" t="s">
        <v>146</v>
      </c>
      <c r="D34" s="9" t="s">
        <v>213</v>
      </c>
    </row>
    <row r="35" ht="27.75" customHeight="1">
      <c r="A35" s="11" t="s">
        <v>215</v>
      </c>
      <c r="B35" s="20" t="s">
        <v>217</v>
      </c>
      <c r="C35" s="11" t="s">
        <v>160</v>
      </c>
      <c r="D35" s="11" t="s">
        <v>221</v>
      </c>
    </row>
    <row r="36" ht="27.75" customHeight="1">
      <c r="A36" s="11" t="s">
        <v>224</v>
      </c>
      <c r="B36" s="20" t="s">
        <v>225</v>
      </c>
      <c r="C36" s="11" t="s">
        <v>160</v>
      </c>
      <c r="D36" s="11" t="s">
        <v>221</v>
      </c>
    </row>
    <row r="37" ht="27.75" customHeight="1">
      <c r="A37" s="11" t="s">
        <v>227</v>
      </c>
      <c r="B37" s="20" t="s">
        <v>229</v>
      </c>
      <c r="C37" s="11" t="s">
        <v>231</v>
      </c>
      <c r="D37" s="11" t="s">
        <v>221</v>
      </c>
    </row>
    <row r="38" ht="27.75" customHeight="1">
      <c r="A38" s="11" t="s">
        <v>233</v>
      </c>
      <c r="B38" s="20" t="s">
        <v>234</v>
      </c>
      <c r="C38" s="11" t="s">
        <v>231</v>
      </c>
      <c r="D38" s="11" t="s">
        <v>221</v>
      </c>
    </row>
    <row r="39" ht="27.75" customHeight="1">
      <c r="A39" s="11" t="s">
        <v>237</v>
      </c>
      <c r="B39" s="20" t="s">
        <v>238</v>
      </c>
      <c r="C39" s="11" t="s">
        <v>169</v>
      </c>
      <c r="D39" s="11" t="s">
        <v>239</v>
      </c>
    </row>
    <row r="40" ht="27.75" customHeight="1">
      <c r="A40" s="21" t="s">
        <v>240</v>
      </c>
      <c r="B40" s="20" t="s">
        <v>242</v>
      </c>
      <c r="C40" s="11" t="s">
        <v>151</v>
      </c>
      <c r="D40" s="11" t="s">
        <v>221</v>
      </c>
    </row>
    <row r="41" ht="27.75" customHeight="1">
      <c r="A41" s="21" t="s">
        <v>244</v>
      </c>
      <c r="B41" s="20" t="s">
        <v>245</v>
      </c>
      <c r="C41" s="11" t="s">
        <v>151</v>
      </c>
      <c r="D41" s="11" t="s">
        <v>221</v>
      </c>
    </row>
    <row r="42" ht="27.75" customHeight="1">
      <c r="A42" s="21" t="s">
        <v>247</v>
      </c>
      <c r="B42" s="20" t="s">
        <v>248</v>
      </c>
      <c r="C42" s="11" t="s">
        <v>151</v>
      </c>
      <c r="D42" s="11" t="s">
        <v>249</v>
      </c>
    </row>
    <row r="43" ht="27.75" customHeight="1">
      <c r="A43" s="21" t="s">
        <v>250</v>
      </c>
      <c r="B43" s="20" t="s">
        <v>251</v>
      </c>
      <c r="C43" s="11" t="s">
        <v>160</v>
      </c>
      <c r="D43" s="11" t="s">
        <v>252</v>
      </c>
    </row>
    <row r="44" ht="27.75" customHeight="1">
      <c r="A44" s="21" t="s">
        <v>253</v>
      </c>
      <c r="B44" s="20" t="s">
        <v>254</v>
      </c>
      <c r="C44" s="11" t="s">
        <v>169</v>
      </c>
      <c r="D44" s="11" t="s">
        <v>256</v>
      </c>
    </row>
    <row r="45" ht="27.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B11:D11"/>
    <mergeCell ref="B14:D14"/>
    <mergeCell ref="B15:D15"/>
    <mergeCell ref="B16:D16"/>
    <mergeCell ref="B17:D17"/>
    <mergeCell ref="B18:D18"/>
    <mergeCell ref="A21:D21"/>
    <mergeCell ref="A33:D33"/>
    <mergeCell ref="B4:D4"/>
    <mergeCell ref="B5:D5"/>
    <mergeCell ref="B6:D6"/>
    <mergeCell ref="B7:D7"/>
    <mergeCell ref="B8:D8"/>
    <mergeCell ref="B9:D9"/>
    <mergeCell ref="B10:D10"/>
  </mergeCell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8.0" topLeftCell="B9" activePane="bottomRight" state="frozen"/>
      <selection activeCell="B1" sqref="B1" pane="topRight"/>
      <selection activeCell="A9" sqref="A9" pane="bottomLeft"/>
      <selection activeCell="B9" sqref="B9" pane="bottomRight"/>
    </sheetView>
  </sheetViews>
  <sheetFormatPr customHeight="1" defaultColWidth="14.43" defaultRowHeight="15.0"/>
  <cols>
    <col customWidth="1" min="1" max="1" width="10.0"/>
    <col customWidth="1" min="2" max="3" width="11.0"/>
    <col customWidth="1" min="4" max="4" width="9.0"/>
    <col customWidth="1" min="5" max="5" width="13.0"/>
    <col customWidth="1" min="6" max="6" width="6.0"/>
    <col customWidth="1" min="7" max="7" width="10.0"/>
    <col customWidth="1" min="8" max="8" width="11.86"/>
    <col customWidth="1" min="9" max="9" width="15.0"/>
    <col customWidth="1" min="10" max="10" width="9.0"/>
    <col customWidth="1" min="11" max="12" width="7.0"/>
    <col customWidth="1" min="13" max="13" width="8.0"/>
    <col customWidth="1" min="14" max="14" width="12.0"/>
    <col customWidth="1" min="15" max="15" width="14.0"/>
    <col customWidth="1" min="16" max="16" width="44.0"/>
    <col customWidth="1" min="17" max="26" width="8.71"/>
  </cols>
  <sheetData>
    <row r="1">
      <c r="A1" s="1" t="s">
        <v>0</v>
      </c>
    </row>
    <row r="2">
      <c r="A2" s="3" t="s">
        <v>3</v>
      </c>
    </row>
    <row r="4">
      <c r="A4" s="4" t="s">
        <v>6</v>
      </c>
      <c r="B4" s="8">
        <f>TODAY()</f>
        <v>46301</v>
      </c>
      <c r="C4" s="3" t="s">
        <v>21</v>
      </c>
    </row>
    <row r="5">
      <c r="A5" s="4" t="s">
        <v>22</v>
      </c>
      <c r="B5" s="13">
        <f>DATE(YEAR(B4)-18,MONTH(B4),DAY(B4))</f>
        <v>39727</v>
      </c>
      <c r="C5" s="3" t="s">
        <v>53</v>
      </c>
    </row>
    <row r="6">
      <c r="A6" s="4" t="s">
        <v>56</v>
      </c>
      <c r="B6" s="13">
        <f>B5+1</f>
        <v>39728</v>
      </c>
      <c r="C6" s="3" t="s">
        <v>69</v>
      </c>
    </row>
    <row r="8" ht="42.0" customHeight="1">
      <c r="A8" s="9" t="s">
        <v>76</v>
      </c>
      <c r="B8" s="9" t="s">
        <v>79</v>
      </c>
      <c r="C8" s="9" t="s">
        <v>82</v>
      </c>
      <c r="D8" s="9" t="s">
        <v>85</v>
      </c>
      <c r="E8" s="9" t="s">
        <v>87</v>
      </c>
      <c r="F8" s="9" t="s">
        <v>91</v>
      </c>
      <c r="G8" s="9" t="s">
        <v>94</v>
      </c>
      <c r="H8" s="9" t="s">
        <v>96</v>
      </c>
      <c r="I8" s="9" t="s">
        <v>99</v>
      </c>
      <c r="J8" s="9" t="s">
        <v>102</v>
      </c>
      <c r="K8" s="9" t="s">
        <v>105</v>
      </c>
      <c r="L8" s="9" t="s">
        <v>108</v>
      </c>
      <c r="M8" s="9" t="s">
        <v>111</v>
      </c>
      <c r="N8" s="9" t="s">
        <v>113</v>
      </c>
      <c r="O8" s="9" t="s">
        <v>114</v>
      </c>
      <c r="P8" s="9" t="s">
        <v>117</v>
      </c>
    </row>
    <row r="9">
      <c r="A9" s="11" t="s">
        <v>45</v>
      </c>
      <c r="B9" s="11" t="s">
        <v>126</v>
      </c>
      <c r="C9" s="11" t="s">
        <v>128</v>
      </c>
      <c r="D9" s="11" t="s">
        <v>130</v>
      </c>
      <c r="E9" s="13">
        <v>36229.0</v>
      </c>
      <c r="F9" s="11">
        <f t="shared" ref="F9:F17" si="1">DATEDIF(E9,$B$4,"y")</f>
        <v>27</v>
      </c>
      <c r="G9" s="16">
        <v>13.7466</v>
      </c>
      <c r="H9" s="16">
        <v>100.5393</v>
      </c>
      <c r="I9" s="11" t="s">
        <v>176</v>
      </c>
      <c r="J9" s="11" t="s">
        <v>179</v>
      </c>
      <c r="K9" s="11">
        <v>24.0</v>
      </c>
      <c r="L9" s="11">
        <v>32.0</v>
      </c>
      <c r="M9" s="11">
        <v>50.0</v>
      </c>
      <c r="N9" s="22">
        <f t="shared" ref="N9:N17" si="2">ROUND(6371*2*ASIN(SQRT(SIN(RADIANS(G9-$G$9)/2)^2+COS(RADIANS($G$9))*COS(RADIANS(G9))*SIN(RADIANS(H9-$H$9)/2)^2)),1)</f>
        <v>0</v>
      </c>
      <c r="O9" s="11" t="str">
        <f t="shared" ref="O9:O17" si="3">IF(A9=$A$9,"Self, never shown",IF(AND(D9=$J$9,J9=$D$9,F9&gt;=$K$9,F9&lt;=$L$9,$F$9&gt;=K9,$F$9&lt;=L9,N9&lt;=$M$9,N9&lt;=M9),"Yes","No"))</f>
        <v>Self, never shown</v>
      </c>
      <c r="P9" s="11" t="s">
        <v>257</v>
      </c>
    </row>
    <row r="10">
      <c r="A10" s="11" t="s">
        <v>57</v>
      </c>
      <c r="B10" s="11" t="s">
        <v>258</v>
      </c>
      <c r="C10" s="11" t="s">
        <v>259</v>
      </c>
      <c r="D10" s="11" t="s">
        <v>179</v>
      </c>
      <c r="E10" s="13">
        <v>35935.0</v>
      </c>
      <c r="F10" s="11">
        <f t="shared" si="1"/>
        <v>28</v>
      </c>
      <c r="G10" s="16">
        <v>13.7279</v>
      </c>
      <c r="H10" s="16">
        <v>100.5241</v>
      </c>
      <c r="I10" s="11" t="s">
        <v>260</v>
      </c>
      <c r="J10" s="11" t="s">
        <v>130</v>
      </c>
      <c r="K10" s="11">
        <v>22.0</v>
      </c>
      <c r="L10" s="11">
        <v>30.0</v>
      </c>
      <c r="M10" s="11">
        <v>30.0</v>
      </c>
      <c r="N10" s="22">
        <f t="shared" si="2"/>
        <v>2.6</v>
      </c>
      <c r="O10" s="11" t="str">
        <f t="shared" si="3"/>
        <v>Yes</v>
      </c>
      <c r="P10" s="11" t="s">
        <v>261</v>
      </c>
    </row>
    <row r="11">
      <c r="A11" s="11" t="s">
        <v>42</v>
      </c>
      <c r="B11" s="11" t="s">
        <v>262</v>
      </c>
      <c r="C11" s="11" t="s">
        <v>263</v>
      </c>
      <c r="D11" s="11" t="s">
        <v>179</v>
      </c>
      <c r="E11" s="13">
        <v>36936.0</v>
      </c>
      <c r="F11" s="11">
        <f t="shared" si="1"/>
        <v>25</v>
      </c>
      <c r="G11" s="16">
        <v>13.8621</v>
      </c>
      <c r="H11" s="16">
        <v>100.5144</v>
      </c>
      <c r="I11" s="11" t="s">
        <v>264</v>
      </c>
      <c r="J11" s="11" t="s">
        <v>130</v>
      </c>
      <c r="K11" s="11">
        <v>22.0</v>
      </c>
      <c r="L11" s="11">
        <v>30.0</v>
      </c>
      <c r="M11" s="11">
        <v>20.0</v>
      </c>
      <c r="N11" s="22">
        <f t="shared" si="2"/>
        <v>13.1</v>
      </c>
      <c r="O11" s="11" t="str">
        <f t="shared" si="3"/>
        <v>Yes</v>
      </c>
      <c r="P11" s="11" t="s">
        <v>265</v>
      </c>
    </row>
    <row r="12">
      <c r="A12" s="11" t="s">
        <v>266</v>
      </c>
      <c r="B12" s="11" t="s">
        <v>267</v>
      </c>
      <c r="C12" s="11" t="s">
        <v>268</v>
      </c>
      <c r="D12" s="11" t="s">
        <v>179</v>
      </c>
      <c r="E12" s="13">
        <v>31052.0</v>
      </c>
      <c r="F12" s="11">
        <f t="shared" si="1"/>
        <v>41</v>
      </c>
      <c r="G12" s="16">
        <v>13.7563</v>
      </c>
      <c r="H12" s="16">
        <v>100.5018</v>
      </c>
      <c r="I12" s="11" t="s">
        <v>269</v>
      </c>
      <c r="J12" s="11" t="s">
        <v>130</v>
      </c>
      <c r="K12" s="11">
        <v>25.0</v>
      </c>
      <c r="L12" s="11">
        <v>45.0</v>
      </c>
      <c r="M12" s="11">
        <v>50.0</v>
      </c>
      <c r="N12" s="22">
        <f t="shared" si="2"/>
        <v>4.2</v>
      </c>
      <c r="O12" s="11" t="str">
        <f t="shared" si="3"/>
        <v>No</v>
      </c>
      <c r="P12" s="11" t="s">
        <v>270</v>
      </c>
    </row>
    <row r="13">
      <c r="A13" s="11" t="s">
        <v>271</v>
      </c>
      <c r="B13" s="11" t="s">
        <v>272</v>
      </c>
      <c r="C13" s="11" t="s">
        <v>273</v>
      </c>
      <c r="D13" s="11" t="s">
        <v>179</v>
      </c>
      <c r="E13" s="13">
        <v>35521.0</v>
      </c>
      <c r="F13" s="11">
        <f t="shared" si="1"/>
        <v>29</v>
      </c>
      <c r="G13" s="16">
        <v>18.7883</v>
      </c>
      <c r="H13" s="16">
        <v>98.9853</v>
      </c>
      <c r="I13" s="11" t="s">
        <v>274</v>
      </c>
      <c r="J13" s="11" t="s">
        <v>130</v>
      </c>
      <c r="K13" s="11">
        <v>22.0</v>
      </c>
      <c r="L13" s="11">
        <v>35.0</v>
      </c>
      <c r="M13" s="11">
        <v>1000.0</v>
      </c>
      <c r="N13" s="22">
        <f t="shared" si="2"/>
        <v>584.6</v>
      </c>
      <c r="O13" s="11" t="str">
        <f t="shared" si="3"/>
        <v>No</v>
      </c>
      <c r="P13" s="11" t="s">
        <v>275</v>
      </c>
    </row>
    <row r="14">
      <c r="A14" s="11" t="s">
        <v>276</v>
      </c>
      <c r="B14" s="11" t="s">
        <v>277</v>
      </c>
      <c r="C14" s="11" t="s">
        <v>278</v>
      </c>
      <c r="D14" s="11" t="s">
        <v>130</v>
      </c>
      <c r="E14" s="13">
        <v>36714.0</v>
      </c>
      <c r="F14" s="11">
        <f t="shared" si="1"/>
        <v>26</v>
      </c>
      <c r="G14" s="16">
        <v>13.765</v>
      </c>
      <c r="H14" s="16">
        <v>100.538</v>
      </c>
      <c r="I14" s="11" t="s">
        <v>269</v>
      </c>
      <c r="J14" s="11" t="s">
        <v>179</v>
      </c>
      <c r="K14" s="11">
        <v>24.0</v>
      </c>
      <c r="L14" s="11">
        <v>35.0</v>
      </c>
      <c r="M14" s="11">
        <v>25.0</v>
      </c>
      <c r="N14" s="22">
        <f t="shared" si="2"/>
        <v>2.1</v>
      </c>
      <c r="O14" s="11" t="str">
        <f t="shared" si="3"/>
        <v>No</v>
      </c>
      <c r="P14" s="11" t="s">
        <v>279</v>
      </c>
    </row>
    <row r="15">
      <c r="A15" s="11" t="s">
        <v>280</v>
      </c>
      <c r="B15" s="11" t="s">
        <v>281</v>
      </c>
      <c r="C15" s="11" t="s">
        <v>282</v>
      </c>
      <c r="D15" s="11" t="s">
        <v>179</v>
      </c>
      <c r="E15" s="13">
        <v>35177.0</v>
      </c>
      <c r="F15" s="11">
        <f t="shared" si="1"/>
        <v>30</v>
      </c>
      <c r="G15" s="16">
        <v>13.5991</v>
      </c>
      <c r="H15" s="16">
        <v>100.5998</v>
      </c>
      <c r="I15" s="11" t="s">
        <v>283</v>
      </c>
      <c r="J15" s="11" t="s">
        <v>130</v>
      </c>
      <c r="K15" s="11">
        <v>20.0</v>
      </c>
      <c r="L15" s="11">
        <v>26.0</v>
      </c>
      <c r="M15" s="11">
        <v>40.0</v>
      </c>
      <c r="N15" s="22">
        <f t="shared" si="2"/>
        <v>17.7</v>
      </c>
      <c r="O15" s="11" t="str">
        <f t="shared" si="3"/>
        <v>No</v>
      </c>
      <c r="P15" s="11" t="s">
        <v>284</v>
      </c>
    </row>
    <row r="16">
      <c r="A16" s="11" t="s">
        <v>120</v>
      </c>
      <c r="B16" s="11" t="s">
        <v>285</v>
      </c>
      <c r="C16" s="11" t="s">
        <v>286</v>
      </c>
      <c r="D16" s="11" t="s">
        <v>130</v>
      </c>
      <c r="E16" s="13">
        <v>34941.0</v>
      </c>
      <c r="F16" s="11">
        <f t="shared" si="1"/>
        <v>31</v>
      </c>
      <c r="G16" s="16">
        <v>13.74</v>
      </c>
      <c r="H16" s="16">
        <v>100.56</v>
      </c>
      <c r="I16" s="11" t="s">
        <v>269</v>
      </c>
      <c r="J16" s="11" t="s">
        <v>179</v>
      </c>
      <c r="K16" s="11">
        <v>25.0</v>
      </c>
      <c r="L16" s="11">
        <v>40.0</v>
      </c>
      <c r="M16" s="11">
        <v>30.0</v>
      </c>
      <c r="N16" s="22">
        <f t="shared" si="2"/>
        <v>2.4</v>
      </c>
      <c r="O16" s="11" t="str">
        <f t="shared" si="3"/>
        <v>No</v>
      </c>
      <c r="P16" s="11" t="s">
        <v>287</v>
      </c>
    </row>
    <row r="17">
      <c r="A17" s="11" t="s">
        <v>288</v>
      </c>
      <c r="B17" s="11" t="s">
        <v>289</v>
      </c>
      <c r="C17" s="11" t="s">
        <v>290</v>
      </c>
      <c r="D17" s="11" t="s">
        <v>179</v>
      </c>
      <c r="E17" s="13">
        <v>18415.0</v>
      </c>
      <c r="F17" s="11">
        <f t="shared" si="1"/>
        <v>76</v>
      </c>
      <c r="G17" s="16">
        <v>14.3532</v>
      </c>
      <c r="H17" s="16">
        <v>100.5689</v>
      </c>
      <c r="I17" s="11" t="s">
        <v>291</v>
      </c>
      <c r="J17" s="11" t="s">
        <v>130</v>
      </c>
      <c r="K17" s="11">
        <v>70.0</v>
      </c>
      <c r="L17" s="11">
        <v>80.0</v>
      </c>
      <c r="M17" s="11">
        <v>5.0</v>
      </c>
      <c r="N17" s="22">
        <f t="shared" si="2"/>
        <v>67.5</v>
      </c>
      <c r="O17" s="11" t="str">
        <f t="shared" si="3"/>
        <v>No</v>
      </c>
      <c r="P17" s="11" t="s">
        <v>292</v>
      </c>
    </row>
    <row r="18">
      <c r="A18" s="3" t="s">
        <v>293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8:P18"/>
  </mergeCells>
  <printOptions/>
  <pageMargins bottom="1.0" footer="0.0" header="0.0" left="0.75" right="0.75" top="1.0"/>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6.0"/>
    <col customWidth="1" min="2" max="3" width="10.0"/>
    <col customWidth="1" min="4" max="4" width="60.0"/>
    <col customWidth="1" min="5" max="5" width="16.0"/>
    <col customWidth="1" min="6" max="6" width="10.0"/>
    <col customWidth="1" min="7" max="26" width="8.71"/>
  </cols>
  <sheetData>
    <row r="1">
      <c r="A1" s="1" t="s">
        <v>7</v>
      </c>
    </row>
    <row r="2">
      <c r="A2" s="3" t="s">
        <v>9</v>
      </c>
    </row>
    <row r="4">
      <c r="A4" s="5" t="s">
        <v>12</v>
      </c>
    </row>
    <row r="5">
      <c r="A5" s="9" t="s">
        <v>17</v>
      </c>
      <c r="B5" s="9" t="s">
        <v>26</v>
      </c>
      <c r="C5" s="9" t="s">
        <v>29</v>
      </c>
      <c r="D5" s="9" t="s">
        <v>30</v>
      </c>
      <c r="E5" s="9" t="s">
        <v>33</v>
      </c>
      <c r="F5" s="9" t="s">
        <v>35</v>
      </c>
    </row>
    <row r="6">
      <c r="A6" s="11" t="s">
        <v>39</v>
      </c>
      <c r="B6" s="11" t="s">
        <v>42</v>
      </c>
      <c r="C6" s="11" t="s">
        <v>45</v>
      </c>
      <c r="D6" s="11" t="s">
        <v>46</v>
      </c>
      <c r="E6" s="11" t="s">
        <v>47</v>
      </c>
      <c r="F6" s="11" t="s">
        <v>52</v>
      </c>
    </row>
    <row r="7">
      <c r="A7" s="11" t="s">
        <v>55</v>
      </c>
      <c r="B7" s="11" t="s">
        <v>57</v>
      </c>
      <c r="C7" s="11" t="s">
        <v>45</v>
      </c>
      <c r="D7" s="11" t="s">
        <v>62</v>
      </c>
      <c r="E7" s="11" t="s">
        <v>64</v>
      </c>
      <c r="F7" s="11" t="s">
        <v>65</v>
      </c>
    </row>
    <row r="8">
      <c r="A8" s="11" t="s">
        <v>67</v>
      </c>
      <c r="B8" s="11" t="s">
        <v>57</v>
      </c>
      <c r="C8" s="11" t="s">
        <v>45</v>
      </c>
      <c r="D8" s="11" t="s">
        <v>73</v>
      </c>
      <c r="E8" s="11" t="s">
        <v>74</v>
      </c>
      <c r="F8" s="11" t="s">
        <v>65</v>
      </c>
    </row>
    <row r="9">
      <c r="A9" s="11" t="s">
        <v>80</v>
      </c>
      <c r="B9" s="11" t="s">
        <v>57</v>
      </c>
      <c r="C9" s="11" t="s">
        <v>45</v>
      </c>
      <c r="D9" s="11" t="s">
        <v>88</v>
      </c>
      <c r="E9" s="11" t="s">
        <v>90</v>
      </c>
      <c r="F9" s="11" t="s">
        <v>65</v>
      </c>
    </row>
    <row r="10">
      <c r="A10" s="11" t="s">
        <v>98</v>
      </c>
      <c r="B10" s="11" t="s">
        <v>57</v>
      </c>
      <c r="C10" s="11" t="s">
        <v>42</v>
      </c>
      <c r="D10" s="11" t="s">
        <v>107</v>
      </c>
      <c r="E10" s="11" t="s">
        <v>110</v>
      </c>
      <c r="F10" s="11" t="s">
        <v>52</v>
      </c>
    </row>
    <row r="11">
      <c r="A11" s="11" t="s">
        <v>116</v>
      </c>
      <c r="B11" s="11" t="s">
        <v>45</v>
      </c>
      <c r="C11" s="11" t="s">
        <v>120</v>
      </c>
      <c r="D11" s="11" t="s">
        <v>123</v>
      </c>
      <c r="E11" s="11" t="s">
        <v>124</v>
      </c>
      <c r="F11" s="11" t="s">
        <v>52</v>
      </c>
    </row>
    <row r="13">
      <c r="A13" s="5" t="s">
        <v>140</v>
      </c>
    </row>
    <row r="14">
      <c r="A14" s="9" t="s">
        <v>146</v>
      </c>
      <c r="B14" s="9" t="s">
        <v>150</v>
      </c>
      <c r="C14" s="9" t="s">
        <v>155</v>
      </c>
      <c r="D14" s="9" t="s">
        <v>159</v>
      </c>
    </row>
    <row r="15">
      <c r="A15" s="11" t="s">
        <v>45</v>
      </c>
      <c r="B15" s="11" t="s">
        <v>166</v>
      </c>
      <c r="C15" s="11" t="s">
        <v>42</v>
      </c>
      <c r="D15" s="11"/>
    </row>
    <row r="16">
      <c r="A16" s="11" t="s">
        <v>45</v>
      </c>
      <c r="B16" s="11" t="s">
        <v>178</v>
      </c>
      <c r="C16" s="11" t="s">
        <v>42</v>
      </c>
      <c r="D16" s="11" t="s">
        <v>184</v>
      </c>
    </row>
    <row r="18">
      <c r="A18" s="5" t="s">
        <v>189</v>
      </c>
    </row>
    <row r="19" ht="42.0" customHeight="1">
      <c r="A19" s="9" t="s">
        <v>192</v>
      </c>
      <c r="B19" s="18" t="s">
        <v>195</v>
      </c>
      <c r="C19" s="19"/>
      <c r="D19" s="9" t="s">
        <v>216</v>
      </c>
    </row>
    <row r="20" ht="42.0" customHeight="1">
      <c r="A20" s="11" t="s">
        <v>220</v>
      </c>
      <c r="B20" s="6" t="s">
        <v>222</v>
      </c>
      <c r="C20" s="19"/>
      <c r="D20" s="11" t="s">
        <v>232</v>
      </c>
    </row>
    <row r="21" ht="42.0" customHeight="1">
      <c r="A21" s="11" t="s">
        <v>235</v>
      </c>
      <c r="B21" s="6" t="s">
        <v>236</v>
      </c>
      <c r="C21" s="19"/>
      <c r="D21" s="11" t="s">
        <v>241</v>
      </c>
    </row>
    <row r="22" ht="42.0" customHeight="1">
      <c r="A22" s="11" t="s">
        <v>243</v>
      </c>
      <c r="B22" s="23" t="s">
        <v>246</v>
      </c>
      <c r="C22" s="19"/>
      <c r="D22" s="21" t="s">
        <v>255</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9:C19"/>
    <mergeCell ref="B20:C20"/>
    <mergeCell ref="B21:C21"/>
    <mergeCell ref="B22:C22"/>
  </mergeCells>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1" width="32.0"/>
    <col customWidth="1" min="2" max="2" width="30.0"/>
    <col customWidth="1" min="3" max="3" width="50.0"/>
    <col customWidth="1" min="4" max="4" width="56.0"/>
  </cols>
  <sheetData>
    <row r="1">
      <c r="A1" s="1" t="s">
        <v>2</v>
      </c>
    </row>
    <row r="3" ht="18.0" customHeight="1">
      <c r="A3" s="4" t="s">
        <v>4</v>
      </c>
      <c r="B3" s="6" t="s">
        <v>10</v>
      </c>
      <c r="C3" s="7"/>
      <c r="D3" s="7"/>
    </row>
    <row r="4" ht="18.0" customHeight="1">
      <c r="A4" s="4" t="s">
        <v>14</v>
      </c>
      <c r="B4" s="6" t="s">
        <v>15</v>
      </c>
      <c r="C4" s="7"/>
      <c r="D4" s="7"/>
    </row>
    <row r="6">
      <c r="A6" s="9" t="s">
        <v>19</v>
      </c>
      <c r="B6" s="9" t="s">
        <v>24</v>
      </c>
      <c r="C6" s="9" t="s">
        <v>27</v>
      </c>
      <c r="D6" s="9" t="s">
        <v>28</v>
      </c>
    </row>
    <row r="7" ht="94.5" customHeight="1">
      <c r="A7" s="10" t="s">
        <v>32</v>
      </c>
      <c r="B7" s="11" t="s">
        <v>38</v>
      </c>
      <c r="C7" s="11" t="s">
        <v>40</v>
      </c>
      <c r="D7" s="11" t="s">
        <v>44</v>
      </c>
    </row>
    <row r="8" ht="40.5" customHeight="1">
      <c r="A8" s="12"/>
      <c r="B8" s="11" t="s">
        <v>49</v>
      </c>
      <c r="C8" s="11" t="s">
        <v>51</v>
      </c>
      <c r="D8" s="11" t="s">
        <v>54</v>
      </c>
    </row>
    <row r="9" ht="40.5" customHeight="1">
      <c r="A9" s="14"/>
      <c r="B9" s="11" t="s">
        <v>58</v>
      </c>
      <c r="C9" s="11" t="s">
        <v>59</v>
      </c>
      <c r="D9" s="11" t="s">
        <v>61</v>
      </c>
    </row>
    <row r="10" ht="40.5" customHeight="1">
      <c r="A10" s="10" t="s">
        <v>63</v>
      </c>
      <c r="B10" s="11" t="s">
        <v>68</v>
      </c>
      <c r="C10" s="11" t="s">
        <v>70</v>
      </c>
      <c r="D10" s="11" t="s">
        <v>71</v>
      </c>
    </row>
    <row r="11" ht="27.0" customHeight="1">
      <c r="A11" s="12"/>
      <c r="B11" s="11" t="s">
        <v>75</v>
      </c>
      <c r="C11" s="11" t="s">
        <v>77</v>
      </c>
      <c r="D11" s="11" t="s">
        <v>78</v>
      </c>
    </row>
    <row r="12" ht="40.5" customHeight="1">
      <c r="A12" s="12"/>
      <c r="B12" s="11" t="s">
        <v>81</v>
      </c>
      <c r="C12" s="11" t="s">
        <v>84</v>
      </c>
      <c r="D12" s="11" t="s">
        <v>78</v>
      </c>
    </row>
    <row r="13" ht="27.0" customHeight="1">
      <c r="A13" s="12"/>
      <c r="B13" s="11" t="s">
        <v>86</v>
      </c>
      <c r="C13" s="11" t="s">
        <v>89</v>
      </c>
      <c r="D13" s="11" t="s">
        <v>92</v>
      </c>
    </row>
    <row r="14" ht="40.5" customHeight="1">
      <c r="A14" s="12"/>
      <c r="B14" s="11" t="s">
        <v>95</v>
      </c>
      <c r="C14" s="11" t="s">
        <v>97</v>
      </c>
      <c r="D14" s="11" t="s">
        <v>100</v>
      </c>
    </row>
    <row r="15" ht="40.5" customHeight="1">
      <c r="A15" s="14"/>
      <c r="B15" s="11" t="s">
        <v>104</v>
      </c>
      <c r="C15" s="11" t="s">
        <v>106</v>
      </c>
      <c r="D15" s="11" t="s">
        <v>109</v>
      </c>
    </row>
    <row r="16" ht="27.0" customHeight="1">
      <c r="A16" s="10" t="s">
        <v>112</v>
      </c>
      <c r="B16" s="11" t="s">
        <v>118</v>
      </c>
      <c r="C16" s="11" t="s">
        <v>119</v>
      </c>
      <c r="D16" s="11" t="s">
        <v>122</v>
      </c>
    </row>
    <row r="17" ht="40.5" customHeight="1">
      <c r="A17" s="12"/>
      <c r="B17" s="11" t="s">
        <v>125</v>
      </c>
      <c r="C17" s="11" t="s">
        <v>127</v>
      </c>
      <c r="D17" s="11" t="s">
        <v>129</v>
      </c>
    </row>
    <row r="18" ht="40.5" customHeight="1">
      <c r="A18" s="14"/>
      <c r="B18" s="11" t="s">
        <v>133</v>
      </c>
      <c r="C18" s="11" t="s">
        <v>135</v>
      </c>
      <c r="D18" s="11" t="s">
        <v>137</v>
      </c>
    </row>
    <row r="19" ht="40.5" customHeight="1">
      <c r="A19" s="10" t="s">
        <v>138</v>
      </c>
      <c r="B19" s="11" t="s">
        <v>144</v>
      </c>
      <c r="C19" s="11" t="s">
        <v>145</v>
      </c>
      <c r="D19" s="11" t="s">
        <v>147</v>
      </c>
    </row>
    <row r="20" ht="40.5" customHeight="1">
      <c r="A20" s="12"/>
      <c r="B20" s="11" t="s">
        <v>152</v>
      </c>
      <c r="C20" s="11" t="s">
        <v>154</v>
      </c>
      <c r="D20" s="11" t="s">
        <v>156</v>
      </c>
    </row>
    <row r="21" ht="40.5" customHeight="1">
      <c r="A21" s="12"/>
      <c r="B21" s="11" t="s">
        <v>161</v>
      </c>
      <c r="C21" s="11" t="s">
        <v>163</v>
      </c>
      <c r="D21" s="11" t="s">
        <v>164</v>
      </c>
    </row>
    <row r="22" ht="27.0" customHeight="1">
      <c r="A22" s="12"/>
      <c r="B22" s="11" t="s">
        <v>168</v>
      </c>
      <c r="C22" s="11" t="s">
        <v>170</v>
      </c>
      <c r="D22" s="11" t="s">
        <v>172</v>
      </c>
    </row>
    <row r="23" ht="40.5" customHeight="1">
      <c r="A23" s="12"/>
      <c r="B23" s="11" t="s">
        <v>174</v>
      </c>
      <c r="C23" s="11" t="s">
        <v>175</v>
      </c>
      <c r="D23" s="11" t="s">
        <v>180</v>
      </c>
    </row>
    <row r="24" ht="40.5" customHeight="1">
      <c r="A24" s="14"/>
      <c r="B24" s="11" t="s">
        <v>183</v>
      </c>
      <c r="C24" s="11" t="s">
        <v>185</v>
      </c>
      <c r="D24" s="11" t="s">
        <v>187</v>
      </c>
    </row>
    <row r="25" ht="40.5" customHeight="1">
      <c r="A25" s="17" t="s">
        <v>190</v>
      </c>
      <c r="B25" s="11" t="s">
        <v>196</v>
      </c>
      <c r="C25" s="11" t="s">
        <v>197</v>
      </c>
      <c r="D25" s="11" t="s">
        <v>199</v>
      </c>
    </row>
    <row r="26" ht="40.5" customHeight="1">
      <c r="A26" s="12"/>
      <c r="B26" s="11" t="s">
        <v>200</v>
      </c>
      <c r="C26" s="11" t="s">
        <v>201</v>
      </c>
      <c r="D26" s="11" t="s">
        <v>203</v>
      </c>
    </row>
    <row r="27" ht="40.5" customHeight="1">
      <c r="A27" s="12"/>
      <c r="B27" s="11" t="s">
        <v>204</v>
      </c>
      <c r="C27" s="11" t="s">
        <v>206</v>
      </c>
      <c r="D27" s="11" t="s">
        <v>207</v>
      </c>
    </row>
    <row r="28" ht="27.0" customHeight="1">
      <c r="A28" s="14"/>
      <c r="B28" s="11" t="s">
        <v>209</v>
      </c>
      <c r="C28" s="11" t="s">
        <v>211</v>
      </c>
      <c r="D28" s="11" t="s">
        <v>212</v>
      </c>
    </row>
    <row r="29" ht="40.5" customHeight="1">
      <c r="A29" s="17" t="s">
        <v>214</v>
      </c>
      <c r="B29" s="11" t="s">
        <v>218</v>
      </c>
      <c r="C29" s="11" t="s">
        <v>219</v>
      </c>
      <c r="D29" s="21" t="s">
        <v>223</v>
      </c>
    </row>
    <row r="30" ht="27.0" customHeight="1">
      <c r="A30" s="14"/>
      <c r="B30" s="11" t="s">
        <v>226</v>
      </c>
      <c r="C30" s="11" t="s">
        <v>228</v>
      </c>
      <c r="D30" s="11" t="s">
        <v>230</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8">
    <mergeCell ref="A25:A28"/>
    <mergeCell ref="A29:A30"/>
    <mergeCell ref="B3:D3"/>
    <mergeCell ref="B4:D4"/>
    <mergeCell ref="A7:A9"/>
    <mergeCell ref="A10:A15"/>
    <mergeCell ref="A16:A18"/>
    <mergeCell ref="A19:A24"/>
  </mergeCells>
  <printOptions/>
  <pageMargins bottom="1.0" footer="0.0" header="0.0" left="0.75" right="0.75" top="1.0"/>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1" width="32.0"/>
    <col customWidth="1" min="2" max="2" width="30.0"/>
    <col customWidth="1" min="3" max="3" width="50.0"/>
    <col customWidth="1" min="4" max="4" width="56.0"/>
  </cols>
  <sheetData>
    <row r="1">
      <c r="A1" s="1" t="s">
        <v>294</v>
      </c>
    </row>
    <row r="3" ht="18.0" customHeight="1">
      <c r="A3" s="4" t="s">
        <v>4</v>
      </c>
      <c r="B3" s="6" t="s">
        <v>295</v>
      </c>
      <c r="C3" s="7"/>
      <c r="D3" s="7"/>
    </row>
    <row r="4" ht="18.0" customHeight="1">
      <c r="A4" s="4" t="s">
        <v>14</v>
      </c>
      <c r="B4" s="6" t="s">
        <v>296</v>
      </c>
      <c r="C4" s="7"/>
      <c r="D4" s="7"/>
    </row>
    <row r="6">
      <c r="A6" s="9" t="s">
        <v>19</v>
      </c>
      <c r="B6" s="9" t="s">
        <v>24</v>
      </c>
      <c r="C6" s="9" t="s">
        <v>27</v>
      </c>
      <c r="D6" s="9" t="s">
        <v>28</v>
      </c>
    </row>
    <row r="7" ht="40.5" customHeight="1">
      <c r="A7" s="10" t="s">
        <v>297</v>
      </c>
      <c r="B7" s="11" t="s">
        <v>298</v>
      </c>
      <c r="C7" s="11" t="s">
        <v>299</v>
      </c>
      <c r="D7" s="11" t="s">
        <v>300</v>
      </c>
    </row>
    <row r="8" ht="40.5" customHeight="1">
      <c r="A8" s="12"/>
      <c r="B8" s="11" t="s">
        <v>301</v>
      </c>
      <c r="C8" s="11" t="s">
        <v>302</v>
      </c>
      <c r="D8" s="11" t="s">
        <v>303</v>
      </c>
    </row>
    <row r="9" ht="40.5" customHeight="1">
      <c r="A9" s="12"/>
      <c r="B9" s="11" t="s">
        <v>304</v>
      </c>
      <c r="C9" s="11" t="s">
        <v>305</v>
      </c>
      <c r="D9" s="11" t="s">
        <v>306</v>
      </c>
    </row>
    <row r="10" ht="40.5" customHeight="1">
      <c r="A10" s="14"/>
      <c r="B10" s="11" t="s">
        <v>307</v>
      </c>
      <c r="C10" s="11" t="s">
        <v>308</v>
      </c>
      <c r="D10" s="11" t="s">
        <v>309</v>
      </c>
    </row>
    <row r="11" ht="27.0" customHeight="1">
      <c r="A11" s="10" t="s">
        <v>310</v>
      </c>
      <c r="B11" s="11" t="s">
        <v>311</v>
      </c>
      <c r="C11" s="11" t="s">
        <v>312</v>
      </c>
      <c r="D11" s="11" t="s">
        <v>313</v>
      </c>
    </row>
    <row r="12" ht="27.0" customHeight="1">
      <c r="A12" s="12"/>
      <c r="B12" s="11" t="s">
        <v>314</v>
      </c>
      <c r="C12" s="11" t="s">
        <v>315</v>
      </c>
      <c r="D12" s="11" t="s">
        <v>316</v>
      </c>
    </row>
    <row r="13" ht="27.0" customHeight="1">
      <c r="A13" s="14"/>
      <c r="B13" s="11" t="s">
        <v>317</v>
      </c>
      <c r="C13" s="11" t="s">
        <v>318</v>
      </c>
      <c r="D13" s="11" t="s">
        <v>319</v>
      </c>
    </row>
    <row r="14" ht="54.0" customHeight="1">
      <c r="A14" s="10" t="s">
        <v>320</v>
      </c>
      <c r="B14" s="11" t="s">
        <v>321</v>
      </c>
      <c r="C14" s="11" t="s">
        <v>322</v>
      </c>
      <c r="D14" s="11" t="s">
        <v>323</v>
      </c>
    </row>
    <row r="15" ht="40.5" customHeight="1">
      <c r="A15" s="12"/>
      <c r="B15" s="11" t="s">
        <v>324</v>
      </c>
      <c r="C15" s="11" t="s">
        <v>325</v>
      </c>
      <c r="D15" s="11" t="s">
        <v>326</v>
      </c>
    </row>
    <row r="16" ht="40.5" customHeight="1">
      <c r="A16" s="12"/>
      <c r="B16" s="11" t="s">
        <v>327</v>
      </c>
      <c r="C16" s="11" t="s">
        <v>328</v>
      </c>
      <c r="D16" s="11" t="s">
        <v>329</v>
      </c>
    </row>
    <row r="17" ht="40.5" customHeight="1">
      <c r="A17" s="14"/>
      <c r="B17" s="11" t="s">
        <v>330</v>
      </c>
      <c r="C17" s="11" t="s">
        <v>331</v>
      </c>
      <c r="D17" s="11" t="s">
        <v>332</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5">
    <mergeCell ref="B3:D3"/>
    <mergeCell ref="B4:D4"/>
    <mergeCell ref="A7:A10"/>
    <mergeCell ref="A11:A13"/>
    <mergeCell ref="A14:A17"/>
  </mergeCells>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1" width="32.0"/>
    <col customWidth="1" min="2" max="2" width="30.0"/>
    <col customWidth="1" min="3" max="3" width="50.0"/>
    <col customWidth="1" min="4" max="4" width="56.0"/>
  </cols>
  <sheetData>
    <row r="1">
      <c r="A1" s="1" t="s">
        <v>333</v>
      </c>
    </row>
    <row r="3" ht="18.0" customHeight="1">
      <c r="A3" s="4" t="s">
        <v>4</v>
      </c>
      <c r="B3" s="6" t="s">
        <v>334</v>
      </c>
      <c r="C3" s="7"/>
      <c r="D3" s="7"/>
    </row>
    <row r="4" ht="18.0" customHeight="1">
      <c r="A4" s="4" t="s">
        <v>14</v>
      </c>
      <c r="B4" s="6" t="s">
        <v>335</v>
      </c>
      <c r="C4" s="7"/>
      <c r="D4" s="7"/>
    </row>
    <row r="6">
      <c r="A6" s="9" t="s">
        <v>19</v>
      </c>
      <c r="B6" s="9" t="s">
        <v>24</v>
      </c>
      <c r="C6" s="9" t="s">
        <v>27</v>
      </c>
      <c r="D6" s="9" t="s">
        <v>28</v>
      </c>
    </row>
    <row r="7" ht="67.5" customHeight="1">
      <c r="A7" s="10" t="s">
        <v>336</v>
      </c>
      <c r="B7" s="11" t="s">
        <v>337</v>
      </c>
      <c r="C7" s="11" t="s">
        <v>338</v>
      </c>
      <c r="D7" s="11" t="s">
        <v>339</v>
      </c>
    </row>
    <row r="8" ht="40.5" customHeight="1">
      <c r="A8" s="12"/>
      <c r="B8" s="11" t="s">
        <v>340</v>
      </c>
      <c r="C8" s="11" t="s">
        <v>341</v>
      </c>
      <c r="D8" s="11" t="s">
        <v>342</v>
      </c>
    </row>
    <row r="9" ht="40.5" customHeight="1">
      <c r="A9" s="12"/>
      <c r="B9" s="11" t="s">
        <v>343</v>
      </c>
      <c r="C9" s="11" t="s">
        <v>341</v>
      </c>
      <c r="D9" s="11" t="s">
        <v>344</v>
      </c>
    </row>
    <row r="10" ht="40.5" customHeight="1">
      <c r="A10" s="12"/>
      <c r="B10" s="11" t="s">
        <v>345</v>
      </c>
      <c r="C10" s="11" t="s">
        <v>341</v>
      </c>
      <c r="D10" s="11" t="s">
        <v>346</v>
      </c>
    </row>
    <row r="11" ht="27.0" customHeight="1">
      <c r="A11" s="12"/>
      <c r="B11" s="11" t="s">
        <v>347</v>
      </c>
      <c r="C11" s="11" t="s">
        <v>341</v>
      </c>
      <c r="D11" s="11" t="s">
        <v>348</v>
      </c>
    </row>
    <row r="12" ht="27.0" customHeight="1">
      <c r="A12" s="12"/>
      <c r="B12" s="11" t="s">
        <v>349</v>
      </c>
      <c r="C12" s="11" t="s">
        <v>341</v>
      </c>
      <c r="D12" s="11" t="s">
        <v>350</v>
      </c>
    </row>
    <row r="13" ht="27.0" customHeight="1">
      <c r="A13" s="12"/>
      <c r="B13" s="11" t="s">
        <v>351</v>
      </c>
      <c r="C13" s="11" t="s">
        <v>341</v>
      </c>
      <c r="D13" s="11" t="s">
        <v>352</v>
      </c>
    </row>
    <row r="14" ht="40.5" customHeight="1">
      <c r="A14" s="14"/>
      <c r="B14" s="11" t="s">
        <v>353</v>
      </c>
      <c r="C14" s="11" t="s">
        <v>354</v>
      </c>
      <c r="D14" s="11" t="s">
        <v>355</v>
      </c>
    </row>
    <row r="15" ht="54.0" customHeight="1">
      <c r="A15" s="10" t="s">
        <v>356</v>
      </c>
      <c r="B15" s="21" t="s">
        <v>358</v>
      </c>
      <c r="C15" s="11" t="s">
        <v>360</v>
      </c>
      <c r="D15" s="11" t="s">
        <v>361</v>
      </c>
    </row>
    <row r="16" ht="40.5" customHeight="1">
      <c r="A16" s="14"/>
      <c r="B16" s="21" t="s">
        <v>362</v>
      </c>
      <c r="C16" s="11" t="s">
        <v>363</v>
      </c>
      <c r="D16" s="11" t="s">
        <v>365</v>
      </c>
    </row>
    <row r="17" ht="27.0" customHeight="1">
      <c r="A17" s="10" t="s">
        <v>366</v>
      </c>
      <c r="B17" s="21" t="s">
        <v>367</v>
      </c>
      <c r="C17" s="11" t="s">
        <v>368</v>
      </c>
      <c r="D17" s="11" t="s">
        <v>369</v>
      </c>
    </row>
    <row r="18" ht="40.5" customHeight="1">
      <c r="A18" s="14"/>
      <c r="B18" s="21" t="s">
        <v>370</v>
      </c>
      <c r="C18" s="11" t="s">
        <v>372</v>
      </c>
      <c r="D18" s="11" t="s">
        <v>373</v>
      </c>
    </row>
    <row r="19" ht="40.5" customHeight="1">
      <c r="A19" s="10" t="s">
        <v>374</v>
      </c>
      <c r="B19" s="21" t="s">
        <v>378</v>
      </c>
      <c r="C19" s="11" t="s">
        <v>379</v>
      </c>
      <c r="D19" s="11" t="s">
        <v>381</v>
      </c>
    </row>
    <row r="20" ht="40.5" customHeight="1">
      <c r="A20" s="12"/>
      <c r="B20" s="21" t="s">
        <v>385</v>
      </c>
      <c r="C20" s="11" t="s">
        <v>387</v>
      </c>
      <c r="D20" s="11" t="s">
        <v>388</v>
      </c>
    </row>
    <row r="21" ht="40.5" customHeight="1">
      <c r="A21" s="14"/>
      <c r="B21" s="21" t="s">
        <v>391</v>
      </c>
      <c r="C21" s="11" t="s">
        <v>393</v>
      </c>
      <c r="D21" s="11" t="s">
        <v>395</v>
      </c>
    </row>
    <row r="22" ht="27.0" customHeight="1">
      <c r="A22" s="10" t="s">
        <v>396</v>
      </c>
      <c r="B22" s="21" t="s">
        <v>402</v>
      </c>
      <c r="C22" s="11" t="s">
        <v>404</v>
      </c>
      <c r="D22" s="11" t="s">
        <v>406</v>
      </c>
    </row>
    <row r="23" ht="27.0" customHeight="1">
      <c r="A23" s="14"/>
      <c r="B23" s="21" t="s">
        <v>409</v>
      </c>
      <c r="C23" s="11" t="s">
        <v>411</v>
      </c>
      <c r="D23" s="21" t="s">
        <v>412</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7">
    <mergeCell ref="B3:D3"/>
    <mergeCell ref="B4:D4"/>
    <mergeCell ref="A15:A16"/>
    <mergeCell ref="A17:A18"/>
    <mergeCell ref="A19:A21"/>
    <mergeCell ref="A22:A23"/>
    <mergeCell ref="A7:A14"/>
  </mergeCells>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1" width="32.0"/>
    <col customWidth="1" min="2" max="2" width="30.0"/>
    <col customWidth="1" min="3" max="3" width="50.0"/>
    <col customWidth="1" min="4" max="4" width="56.0"/>
  </cols>
  <sheetData>
    <row r="1">
      <c r="A1" s="1" t="s">
        <v>357</v>
      </c>
    </row>
    <row r="3" ht="18.0" customHeight="1">
      <c r="A3" s="4" t="s">
        <v>4</v>
      </c>
      <c r="B3" s="6" t="s">
        <v>359</v>
      </c>
      <c r="C3" s="7"/>
      <c r="D3" s="7"/>
    </row>
    <row r="4" ht="18.0" customHeight="1">
      <c r="A4" s="4" t="s">
        <v>14</v>
      </c>
      <c r="B4" s="6" t="s">
        <v>364</v>
      </c>
      <c r="C4" s="7"/>
      <c r="D4" s="7"/>
    </row>
    <row r="6">
      <c r="A6" s="9" t="s">
        <v>19</v>
      </c>
      <c r="B6" s="9" t="s">
        <v>24</v>
      </c>
      <c r="C6" s="9" t="s">
        <v>27</v>
      </c>
      <c r="D6" s="9" t="s">
        <v>28</v>
      </c>
    </row>
    <row r="7" ht="40.5" customHeight="1">
      <c r="A7" s="10" t="s">
        <v>371</v>
      </c>
      <c r="B7" s="11" t="s">
        <v>375</v>
      </c>
      <c r="C7" s="11" t="s">
        <v>376</v>
      </c>
      <c r="D7" s="11" t="s">
        <v>377</v>
      </c>
    </row>
    <row r="8" ht="27.0" customHeight="1">
      <c r="A8" s="12"/>
      <c r="B8" s="11" t="s">
        <v>380</v>
      </c>
      <c r="C8" s="11" t="s">
        <v>382</v>
      </c>
      <c r="D8" s="11" t="s">
        <v>383</v>
      </c>
    </row>
    <row r="9" ht="40.5" customHeight="1">
      <c r="A9" s="12"/>
      <c r="B9" s="11" t="s">
        <v>384</v>
      </c>
      <c r="C9" s="11" t="s">
        <v>382</v>
      </c>
      <c r="D9" s="11" t="s">
        <v>386</v>
      </c>
    </row>
    <row r="10" ht="27.0" customHeight="1">
      <c r="A10" s="14"/>
      <c r="B10" s="11" t="s">
        <v>389</v>
      </c>
      <c r="C10" s="11" t="s">
        <v>390</v>
      </c>
      <c r="D10" s="11" t="s">
        <v>392</v>
      </c>
    </row>
    <row r="11" ht="40.5" customHeight="1">
      <c r="A11" s="10" t="s">
        <v>394</v>
      </c>
      <c r="B11" s="11" t="s">
        <v>397</v>
      </c>
      <c r="C11" s="11" t="s">
        <v>398</v>
      </c>
      <c r="D11" s="11" t="s">
        <v>399</v>
      </c>
    </row>
    <row r="12" ht="27.0" customHeight="1">
      <c r="A12" s="12"/>
      <c r="B12" s="11" t="s">
        <v>400</v>
      </c>
      <c r="C12" s="11" t="s">
        <v>401</v>
      </c>
      <c r="D12" s="11" t="s">
        <v>403</v>
      </c>
    </row>
    <row r="13" ht="40.5" customHeight="1">
      <c r="A13" s="14"/>
      <c r="B13" s="11" t="s">
        <v>405</v>
      </c>
      <c r="C13" s="11" t="s">
        <v>407</v>
      </c>
      <c r="D13" s="11" t="s">
        <v>408</v>
      </c>
    </row>
    <row r="14" ht="40.5" customHeight="1">
      <c r="A14" s="10" t="s">
        <v>410</v>
      </c>
      <c r="B14" s="11" t="s">
        <v>413</v>
      </c>
      <c r="C14" s="11" t="s">
        <v>414</v>
      </c>
      <c r="D14" s="11" t="s">
        <v>415</v>
      </c>
    </row>
    <row r="15" ht="40.5" customHeight="1">
      <c r="A15" s="14"/>
      <c r="B15" s="11" t="s">
        <v>416</v>
      </c>
      <c r="C15" s="11" t="s">
        <v>417</v>
      </c>
      <c r="D15" s="11" t="s">
        <v>418</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5">
    <mergeCell ref="B3:D3"/>
    <mergeCell ref="B4:D4"/>
    <mergeCell ref="A7:A10"/>
    <mergeCell ref="A11:A13"/>
    <mergeCell ref="A14:A15"/>
  </mergeCells>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1" width="32.0"/>
    <col customWidth="1" min="2" max="2" width="30.0"/>
    <col customWidth="1" min="3" max="3" width="50.0"/>
    <col customWidth="1" min="4" max="4" width="56.0"/>
  </cols>
  <sheetData>
    <row r="1">
      <c r="A1" s="1" t="s">
        <v>419</v>
      </c>
    </row>
    <row r="3" ht="18.0" customHeight="1">
      <c r="A3" s="4" t="s">
        <v>4</v>
      </c>
      <c r="B3" s="6" t="s">
        <v>420</v>
      </c>
      <c r="C3" s="7"/>
      <c r="D3" s="7"/>
    </row>
    <row r="4" ht="18.0" customHeight="1">
      <c r="A4" s="4" t="s">
        <v>14</v>
      </c>
      <c r="B4" s="6" t="s">
        <v>421</v>
      </c>
      <c r="C4" s="7"/>
      <c r="D4" s="7"/>
    </row>
    <row r="6">
      <c r="A6" s="9" t="s">
        <v>19</v>
      </c>
      <c r="B6" s="9" t="s">
        <v>24</v>
      </c>
      <c r="C6" s="9" t="s">
        <v>27</v>
      </c>
      <c r="D6" s="9" t="s">
        <v>28</v>
      </c>
    </row>
    <row r="7" ht="40.5" customHeight="1">
      <c r="A7" s="10" t="s">
        <v>422</v>
      </c>
      <c r="B7" s="11" t="s">
        <v>423</v>
      </c>
      <c r="C7" s="11" t="s">
        <v>424</v>
      </c>
      <c r="D7" s="11" t="s">
        <v>425</v>
      </c>
    </row>
    <row r="8" ht="27.0" customHeight="1">
      <c r="A8" s="12"/>
      <c r="B8" s="11" t="s">
        <v>426</v>
      </c>
      <c r="C8" s="21" t="s">
        <v>427</v>
      </c>
      <c r="D8" s="11" t="s">
        <v>428</v>
      </c>
    </row>
    <row r="9" ht="40.5" customHeight="1">
      <c r="A9" s="14"/>
      <c r="B9" s="11" t="s">
        <v>429</v>
      </c>
      <c r="C9" s="11" t="s">
        <v>430</v>
      </c>
      <c r="D9" s="11" t="s">
        <v>431</v>
      </c>
    </row>
    <row r="10" ht="27.0" customHeight="1">
      <c r="A10" s="10" t="s">
        <v>432</v>
      </c>
      <c r="B10" s="11" t="s">
        <v>433</v>
      </c>
      <c r="C10" s="11" t="s">
        <v>434</v>
      </c>
      <c r="D10" s="11" t="s">
        <v>435</v>
      </c>
    </row>
    <row r="11" ht="27.0" customHeight="1">
      <c r="A11" s="14"/>
      <c r="B11" s="11" t="s">
        <v>436</v>
      </c>
      <c r="C11" s="11" t="s">
        <v>437</v>
      </c>
      <c r="D11" s="11" t="s">
        <v>438</v>
      </c>
    </row>
    <row r="12" ht="40.5" customHeight="1">
      <c r="A12" s="24" t="s">
        <v>439</v>
      </c>
      <c r="B12" s="11" t="s">
        <v>440</v>
      </c>
      <c r="C12" s="11" t="s">
        <v>441</v>
      </c>
      <c r="D12" s="11" t="s">
        <v>442</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4">
    <mergeCell ref="B3:D3"/>
    <mergeCell ref="B4:D4"/>
    <mergeCell ref="A7:A9"/>
    <mergeCell ref="A10:A11"/>
  </mergeCells>
  <printOptions/>
  <pageMargins bottom="1.0" footer="0.0" header="0.0" left="0.75" right="0.75"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1" width="32.0"/>
    <col customWidth="1" min="2" max="2" width="30.0"/>
    <col customWidth="1" min="3" max="3" width="50.0"/>
    <col customWidth="1" min="4" max="4" width="56.0"/>
  </cols>
  <sheetData>
    <row r="1">
      <c r="A1" s="1" t="s">
        <v>443</v>
      </c>
    </row>
    <row r="3" ht="18.0" customHeight="1">
      <c r="A3" s="4" t="s">
        <v>4</v>
      </c>
      <c r="B3" s="6" t="s">
        <v>444</v>
      </c>
      <c r="C3" s="7"/>
      <c r="D3" s="7"/>
    </row>
    <row r="4" ht="18.0" customHeight="1">
      <c r="A4" s="4" t="s">
        <v>14</v>
      </c>
      <c r="B4" s="6" t="s">
        <v>445</v>
      </c>
      <c r="C4" s="7"/>
      <c r="D4" s="7"/>
    </row>
    <row r="6">
      <c r="A6" s="9" t="s">
        <v>19</v>
      </c>
      <c r="B6" s="9" t="s">
        <v>24</v>
      </c>
      <c r="C6" s="9" t="s">
        <v>27</v>
      </c>
      <c r="D6" s="9" t="s">
        <v>28</v>
      </c>
    </row>
    <row r="7" ht="27.0" customHeight="1">
      <c r="A7" s="10" t="s">
        <v>446</v>
      </c>
      <c r="B7" s="11" t="s">
        <v>448</v>
      </c>
      <c r="C7" s="11" t="s">
        <v>449</v>
      </c>
      <c r="D7" s="11" t="s">
        <v>450</v>
      </c>
    </row>
    <row r="8" ht="40.5" customHeight="1">
      <c r="A8" s="12"/>
      <c r="B8" s="11" t="s">
        <v>451</v>
      </c>
      <c r="C8" s="21" t="s">
        <v>452</v>
      </c>
      <c r="D8" s="21" t="s">
        <v>454</v>
      </c>
    </row>
    <row r="9" ht="27.0" customHeight="1">
      <c r="A9" s="12"/>
      <c r="B9" s="11" t="s">
        <v>455</v>
      </c>
      <c r="C9" s="11" t="s">
        <v>456</v>
      </c>
      <c r="D9" s="11" t="s">
        <v>457</v>
      </c>
    </row>
    <row r="10" ht="27.0" customHeight="1">
      <c r="A10" s="14"/>
      <c r="B10" s="11" t="s">
        <v>458</v>
      </c>
      <c r="C10" s="11" t="s">
        <v>459</v>
      </c>
      <c r="D10" s="11" t="s">
        <v>460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3">
    <mergeCell ref="B3:D3"/>
    <mergeCell ref="B4:D4"/>
    <mergeCell ref="A7:A10"/>
  </mergeCells>
  <printOptions/>
  <pageMargins bottom="1.0" footer="0.0" header="0.0" left="0.75" right="0.75" top="1.0"/>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1" width="32.0"/>
    <col customWidth="1" min="2" max="2" width="30.0"/>
    <col customWidth="1" min="3" max="3" width="50.0"/>
    <col customWidth="1" min="4" max="4" width="56.0"/>
  </cols>
  <sheetData>
    <row r="1">
      <c r="A1" s="1" t="s">
        <v>447</v>
      </c>
    </row>
    <row r="3" ht="18.0" customHeight="1">
      <c r="A3" s="4" t="s">
        <v>4</v>
      </c>
      <c r="B3" s="6" t="s">
        <v>453</v>
      </c>
      <c r="C3" s="7"/>
      <c r="D3" s="7"/>
    </row>
    <row r="4" ht="18.0" customHeight="1">
      <c r="A4" s="4" t="s">
        <v>14</v>
      </c>
      <c r="B4" s="6" t="s">
        <v>421</v>
      </c>
      <c r="C4" s="7"/>
      <c r="D4" s="7"/>
    </row>
    <row r="6">
      <c r="A6" s="9" t="s">
        <v>19</v>
      </c>
      <c r="B6" s="9" t="s">
        <v>24</v>
      </c>
      <c r="C6" s="9" t="s">
        <v>27</v>
      </c>
      <c r="D6" s="9" t="s">
        <v>28</v>
      </c>
    </row>
    <row r="7" ht="27.0" customHeight="1">
      <c r="A7" s="10" t="s">
        <v>461</v>
      </c>
      <c r="B7" s="11" t="s">
        <v>462</v>
      </c>
      <c r="C7" s="11" t="s">
        <v>463</v>
      </c>
      <c r="D7" s="11" t="s">
        <v>464</v>
      </c>
    </row>
    <row r="8" ht="40.5" customHeight="1">
      <c r="A8" s="12"/>
      <c r="B8" s="11" t="s">
        <v>465</v>
      </c>
      <c r="C8" s="11" t="s">
        <v>466</v>
      </c>
      <c r="D8" s="11" t="s">
        <v>467</v>
      </c>
    </row>
    <row r="9" ht="40.5" customHeight="1">
      <c r="A9" s="12"/>
      <c r="B9" s="11" t="s">
        <v>468</v>
      </c>
      <c r="C9" s="11" t="s">
        <v>469</v>
      </c>
      <c r="D9" s="11" t="s">
        <v>470</v>
      </c>
    </row>
    <row r="10" ht="40.5" customHeight="1">
      <c r="A10" s="14"/>
      <c r="B10" s="11" t="s">
        <v>471</v>
      </c>
      <c r="C10" s="11" t="s">
        <v>472</v>
      </c>
      <c r="D10" s="11" t="s">
        <v>473</v>
      </c>
    </row>
    <row r="11" ht="27.0" customHeight="1">
      <c r="A11" s="10" t="s">
        <v>474</v>
      </c>
      <c r="B11" s="11" t="s">
        <v>475</v>
      </c>
      <c r="C11" s="11" t="s">
        <v>476</v>
      </c>
      <c r="D11" s="11" t="s">
        <v>477</v>
      </c>
    </row>
    <row r="12" ht="27.0" customHeight="1">
      <c r="A12" s="12"/>
      <c r="B12" s="11" t="s">
        <v>478</v>
      </c>
      <c r="C12" s="11" t="s">
        <v>479</v>
      </c>
      <c r="D12" s="11" t="s">
        <v>480</v>
      </c>
    </row>
    <row r="13" ht="40.5" customHeight="1">
      <c r="A13" s="14"/>
      <c r="B13" s="11" t="s">
        <v>481</v>
      </c>
      <c r="C13" s="11" t="s">
        <v>482</v>
      </c>
      <c r="D13" s="11" t="s">
        <v>483</v>
      </c>
    </row>
    <row r="14" ht="40.5" customHeight="1">
      <c r="A14" s="24" t="s">
        <v>484</v>
      </c>
      <c r="B14" s="11" t="s">
        <v>485</v>
      </c>
      <c r="C14" s="11" t="s">
        <v>486</v>
      </c>
      <c r="D14" s="11" t="s">
        <v>487</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4">
    <mergeCell ref="B3:D3"/>
    <mergeCell ref="B4:D4"/>
    <mergeCell ref="A7:A10"/>
    <mergeCell ref="A11:A13"/>
  </mergeCells>
  <printOptions/>
  <pageMargins bottom="1.0" footer="0.0" header="0.0" left="0.75" right="0.75" top="1.0"/>
  <pageSetup fitToHeight="0"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1" width="32.0"/>
    <col customWidth="1" min="2" max="2" width="30.0"/>
    <col customWidth="1" min="3" max="3" width="50.0"/>
    <col customWidth="1" min="4" max="4" width="56.0"/>
  </cols>
  <sheetData>
    <row r="1">
      <c r="A1" s="1" t="s">
        <v>488</v>
      </c>
    </row>
    <row r="3" ht="18.0" customHeight="1">
      <c r="A3" s="4" t="s">
        <v>4</v>
      </c>
      <c r="B3" s="6" t="s">
        <v>489</v>
      </c>
      <c r="C3" s="7"/>
      <c r="D3" s="7"/>
    </row>
    <row r="4" ht="18.0" customHeight="1">
      <c r="A4" s="4" t="s">
        <v>14</v>
      </c>
      <c r="B4" s="6" t="s">
        <v>490</v>
      </c>
      <c r="C4" s="7"/>
      <c r="D4" s="7"/>
    </row>
    <row r="6">
      <c r="A6" s="9" t="s">
        <v>19</v>
      </c>
      <c r="B6" s="9" t="s">
        <v>24</v>
      </c>
      <c r="C6" s="9" t="s">
        <v>27</v>
      </c>
      <c r="D6" s="9" t="s">
        <v>28</v>
      </c>
    </row>
    <row r="7" ht="108.0" customHeight="1">
      <c r="A7" s="10" t="s">
        <v>491</v>
      </c>
      <c r="B7" s="11" t="s">
        <v>492</v>
      </c>
      <c r="C7" s="11" t="s">
        <v>493</v>
      </c>
      <c r="D7" s="11" t="s">
        <v>494</v>
      </c>
    </row>
    <row r="8" ht="27.0" customHeight="1">
      <c r="A8" s="12"/>
      <c r="B8" s="11" t="s">
        <v>495</v>
      </c>
      <c r="C8" s="11" t="s">
        <v>496</v>
      </c>
      <c r="D8" s="11" t="s">
        <v>497</v>
      </c>
    </row>
    <row r="9" ht="27.0" customHeight="1">
      <c r="A9" s="14"/>
      <c r="B9" s="11" t="s">
        <v>498</v>
      </c>
      <c r="C9" s="21" t="s">
        <v>499</v>
      </c>
      <c r="D9" s="11" t="s">
        <v>500</v>
      </c>
    </row>
    <row r="10" ht="40.5" customHeight="1">
      <c r="A10" s="25" t="s">
        <v>501</v>
      </c>
      <c r="B10" s="21" t="s">
        <v>502</v>
      </c>
      <c r="C10" s="11" t="s">
        <v>503</v>
      </c>
      <c r="D10" s="11" t="s">
        <v>504</v>
      </c>
    </row>
    <row r="11" ht="40.5" customHeight="1">
      <c r="A11" s="25" t="s">
        <v>505</v>
      </c>
      <c r="B11" s="21" t="s">
        <v>506</v>
      </c>
      <c r="C11" s="11" t="s">
        <v>507</v>
      </c>
      <c r="D11" s="11" t="s">
        <v>508</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3">
    <mergeCell ref="B3:D3"/>
    <mergeCell ref="B4:D4"/>
    <mergeCell ref="A7:A9"/>
  </mergeCells>
  <printOptions/>
  <pageMargins bottom="1.0" footer="0.0" header="0.0" left="0.75" right="0.75" top="1.0"/>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2026-10-06T09:33:45Z</dcterms:created>
  <dc:creator>openpyxl</dc:creator>
</cp:coreProperties>
</file>

<file path=docProps/custom.xml><?xml version="1.0" encoding="utf-8"?>
<Properties xmlns="http://schemas.openxmlformats.org/officeDocument/2006/custom-properties" xmlns:vt="http://schemas.openxmlformats.org/officeDocument/2006/docPropsVTypes"/>
</file>